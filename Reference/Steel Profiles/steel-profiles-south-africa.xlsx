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ca\Desktop\Development\RFEM_Python_Client\Reference\Steel Profiles\"/>
    </mc:Choice>
  </mc:AlternateContent>
  <xr:revisionPtr revIDLastSave="0" documentId="13_ncr:1_{3744394F-82D1-41E8-A200-980DDAD0AF29}" xr6:coauthVersionLast="47" xr6:coauthVersionMax="47" xr10:uidLastSave="{00000000-0000-0000-0000-000000000000}"/>
  <bookViews>
    <workbookView xWindow="-120" yWindow="-120" windowWidth="29040" windowHeight="15720" xr2:uid="{41C5BDBB-FF32-409D-A5EE-D6982E900B8B}"/>
  </bookViews>
  <sheets>
    <sheet name="SectableSA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1" l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38" i="1"/>
  <c r="E137" i="1"/>
  <c r="C194" i="1"/>
  <c r="C193" i="1"/>
  <c r="D193" i="1" s="1"/>
  <c r="C192" i="1"/>
  <c r="C191" i="1"/>
  <c r="C190" i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C183" i="1"/>
  <c r="C182" i="1"/>
  <c r="D182" i="1" s="1"/>
  <c r="C181" i="1"/>
  <c r="C180" i="1"/>
  <c r="C179" i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C168" i="1"/>
  <c r="C167" i="1"/>
  <c r="C166" i="1"/>
  <c r="C165" i="1"/>
  <c r="C164" i="1"/>
  <c r="C163" i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C153" i="1"/>
  <c r="D153" i="1" s="1"/>
  <c r="C152" i="1"/>
  <c r="C151" i="1"/>
  <c r="C150" i="1"/>
  <c r="C149" i="1"/>
  <c r="D149" i="1" s="1"/>
  <c r="C148" i="1"/>
  <c r="D148" i="1" s="1"/>
  <c r="C147" i="1"/>
  <c r="D147" i="1" s="1"/>
  <c r="C146" i="1"/>
  <c r="C145" i="1"/>
  <c r="C144" i="1"/>
  <c r="C143" i="1"/>
  <c r="C142" i="1"/>
  <c r="C141" i="1"/>
  <c r="D141" i="1" s="1"/>
  <c r="C140" i="1"/>
  <c r="D140" i="1" s="1"/>
  <c r="C139" i="1"/>
  <c r="D139" i="1" s="1"/>
  <c r="C138" i="1"/>
  <c r="D138" i="1" s="1"/>
  <c r="D151" i="1"/>
  <c r="D152" i="1"/>
  <c r="D163" i="1"/>
  <c r="D164" i="1"/>
  <c r="D165" i="1"/>
  <c r="D166" i="1"/>
  <c r="D167" i="1"/>
  <c r="D168" i="1"/>
  <c r="D169" i="1"/>
  <c r="D183" i="1"/>
  <c r="D184" i="1"/>
  <c r="D194" i="1"/>
  <c r="D142" i="1"/>
  <c r="D143" i="1"/>
  <c r="D150" i="1"/>
  <c r="D154" i="1"/>
  <c r="D190" i="1"/>
  <c r="D191" i="1"/>
  <c r="D144" i="1"/>
  <c r="D145" i="1"/>
  <c r="D146" i="1"/>
  <c r="D179" i="1"/>
  <c r="D180" i="1"/>
  <c r="D181" i="1"/>
  <c r="D192" i="1"/>
  <c r="D137" i="1"/>
  <c r="C137" i="1"/>
  <c r="N255" i="1"/>
  <c r="O244" i="1"/>
  <c r="O245" i="1"/>
  <c r="O246" i="1"/>
  <c r="O247" i="1"/>
  <c r="O248" i="1"/>
  <c r="O249" i="1"/>
  <c r="O250" i="1"/>
  <c r="O251" i="1"/>
  <c r="O252" i="1"/>
  <c r="O243" i="1"/>
  <c r="N245" i="1"/>
  <c r="N246" i="1"/>
  <c r="N247" i="1"/>
  <c r="N248" i="1" s="1"/>
  <c r="N249" i="1" s="1"/>
  <c r="N250" i="1" s="1"/>
  <c r="N251" i="1" s="1"/>
  <c r="N252" i="1" s="1"/>
  <c r="N244" i="1"/>
  <c r="N242" i="1"/>
  <c r="D245" i="1"/>
  <c r="D246" i="1"/>
  <c r="D247" i="1"/>
  <c r="D248" i="1"/>
  <c r="D249" i="1"/>
  <c r="D250" i="1"/>
  <c r="D251" i="1"/>
  <c r="E251" i="1" s="1"/>
  <c r="D252" i="1"/>
  <c r="E252" i="1" s="1"/>
  <c r="D253" i="1"/>
  <c r="E253" i="1" s="1"/>
  <c r="D254" i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D261" i="1"/>
  <c r="D262" i="1"/>
  <c r="D263" i="1"/>
  <c r="D264" i="1"/>
  <c r="D265" i="1"/>
  <c r="D266" i="1"/>
  <c r="D267" i="1"/>
  <c r="E267" i="1" s="1"/>
  <c r="D268" i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D277" i="1"/>
  <c r="D278" i="1"/>
  <c r="D279" i="1"/>
  <c r="D280" i="1"/>
  <c r="D281" i="1"/>
  <c r="D282" i="1"/>
  <c r="D283" i="1"/>
  <c r="E283" i="1" s="1"/>
  <c r="D284" i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D293" i="1"/>
  <c r="D294" i="1"/>
  <c r="D295" i="1"/>
  <c r="D296" i="1"/>
  <c r="D297" i="1"/>
  <c r="D298" i="1"/>
  <c r="D299" i="1"/>
  <c r="E299" i="1" s="1"/>
  <c r="D300" i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D308" i="1"/>
  <c r="E308" i="1" s="1"/>
  <c r="D309" i="1"/>
  <c r="D310" i="1"/>
  <c r="D311" i="1"/>
  <c r="D312" i="1"/>
  <c r="D313" i="1"/>
  <c r="D314" i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D322" i="1"/>
  <c r="E322" i="1" s="1"/>
  <c r="D323" i="1"/>
  <c r="E323" i="1" s="1"/>
  <c r="D324" i="1"/>
  <c r="E324" i="1" s="1"/>
  <c r="D325" i="1"/>
  <c r="D326" i="1"/>
  <c r="D327" i="1"/>
  <c r="D328" i="1"/>
  <c r="D329" i="1"/>
  <c r="D330" i="1"/>
  <c r="D331" i="1"/>
  <c r="E331" i="1" s="1"/>
  <c r="D332" i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D340" i="1"/>
  <c r="E340" i="1" s="1"/>
  <c r="D341" i="1"/>
  <c r="D342" i="1"/>
  <c r="D343" i="1"/>
  <c r="D344" i="1"/>
  <c r="D345" i="1"/>
  <c r="D346" i="1"/>
  <c r="D347" i="1"/>
  <c r="E347" i="1" s="1"/>
  <c r="D348" i="1"/>
  <c r="E348" i="1" s="1"/>
  <c r="D349" i="1"/>
  <c r="D350" i="1"/>
  <c r="E350" i="1" s="1"/>
  <c r="D351" i="1"/>
  <c r="E351" i="1" s="1"/>
  <c r="D352" i="1"/>
  <c r="E352" i="1" s="1"/>
  <c r="D353" i="1"/>
  <c r="E353" i="1" s="1"/>
  <c r="D354" i="1"/>
  <c r="D355" i="1"/>
  <c r="E355" i="1" s="1"/>
  <c r="D356" i="1"/>
  <c r="E356" i="1" s="1"/>
  <c r="D357" i="1"/>
  <c r="D358" i="1"/>
  <c r="D359" i="1"/>
  <c r="D360" i="1"/>
  <c r="D361" i="1"/>
  <c r="D362" i="1"/>
  <c r="D363" i="1"/>
  <c r="E363" i="1" s="1"/>
  <c r="D364" i="1"/>
  <c r="D365" i="1"/>
  <c r="E365" i="1" s="1"/>
  <c r="D366" i="1"/>
  <c r="E366" i="1" s="1"/>
  <c r="D367" i="1"/>
  <c r="E367" i="1" s="1"/>
  <c r="D244" i="1"/>
  <c r="C248" i="1"/>
  <c r="E249" i="1"/>
  <c r="E250" i="1"/>
  <c r="E254" i="1"/>
  <c r="E260" i="1"/>
  <c r="E261" i="1"/>
  <c r="E262" i="1"/>
  <c r="E263" i="1"/>
  <c r="E264" i="1"/>
  <c r="E265" i="1"/>
  <c r="E266" i="1"/>
  <c r="E268" i="1"/>
  <c r="E276" i="1"/>
  <c r="E277" i="1"/>
  <c r="E278" i="1"/>
  <c r="E279" i="1"/>
  <c r="E280" i="1"/>
  <c r="E281" i="1"/>
  <c r="E282" i="1"/>
  <c r="E284" i="1"/>
  <c r="E292" i="1"/>
  <c r="E293" i="1"/>
  <c r="E294" i="1"/>
  <c r="E295" i="1"/>
  <c r="E296" i="1"/>
  <c r="E297" i="1"/>
  <c r="E298" i="1"/>
  <c r="E300" i="1"/>
  <c r="E307" i="1"/>
  <c r="E309" i="1"/>
  <c r="E310" i="1"/>
  <c r="E311" i="1"/>
  <c r="E312" i="1"/>
  <c r="E313" i="1"/>
  <c r="E314" i="1"/>
  <c r="E321" i="1"/>
  <c r="E325" i="1"/>
  <c r="E326" i="1"/>
  <c r="E327" i="1"/>
  <c r="E328" i="1"/>
  <c r="E329" i="1"/>
  <c r="E330" i="1"/>
  <c r="E332" i="1"/>
  <c r="E339" i="1"/>
  <c r="E341" i="1"/>
  <c r="E342" i="1"/>
  <c r="E343" i="1"/>
  <c r="E344" i="1"/>
  <c r="E345" i="1"/>
  <c r="E346" i="1"/>
  <c r="E349" i="1"/>
  <c r="E354" i="1"/>
  <c r="E357" i="1"/>
  <c r="E358" i="1"/>
  <c r="E359" i="1"/>
  <c r="E360" i="1"/>
  <c r="E361" i="1"/>
  <c r="E362" i="1"/>
  <c r="E364" i="1"/>
  <c r="E244" i="1"/>
  <c r="E245" i="1"/>
  <c r="E246" i="1"/>
  <c r="E247" i="1"/>
  <c r="E248" i="1"/>
  <c r="C244" i="1"/>
  <c r="C246" i="1"/>
  <c r="C245" i="1"/>
  <c r="C247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11" i="1" a="1"/>
  <c r="C11" i="1" s="1"/>
  <c r="L11" i="1"/>
  <c r="C12" i="1" a="1"/>
  <c r="C12" i="1" s="1"/>
  <c r="E12" i="1" s="1"/>
  <c r="L12" i="1"/>
  <c r="C13" i="1" a="1"/>
  <c r="C13" i="1" s="1"/>
  <c r="L13" i="1"/>
  <c r="C14" i="1" a="1"/>
  <c r="C14" i="1" s="1"/>
  <c r="E14" i="1" s="1"/>
  <c r="L14" i="1"/>
  <c r="C15" i="1" a="1"/>
  <c r="C15" i="1" s="1"/>
  <c r="L15" i="1"/>
  <c r="C16" i="1" a="1"/>
  <c r="C16" i="1" s="1"/>
  <c r="E16" i="1" s="1"/>
  <c r="L16" i="1"/>
  <c r="C18" i="1" a="1"/>
  <c r="C18" i="1" s="1"/>
  <c r="E18" i="1" s="1"/>
  <c r="D18" i="1"/>
  <c r="L18" i="1"/>
  <c r="S18" i="1"/>
  <c r="C19" i="1" a="1"/>
  <c r="C19" i="1" s="1"/>
  <c r="E19" i="1" s="1"/>
  <c r="L19" i="1"/>
  <c r="S19" i="1"/>
  <c r="C20" i="1" a="1"/>
  <c r="D20" i="1" s="1"/>
  <c r="L20" i="1"/>
  <c r="S20" i="1"/>
  <c r="C21" i="1" a="1"/>
  <c r="C21" i="1" s="1"/>
  <c r="E21" i="1" s="1"/>
  <c r="L21" i="1"/>
  <c r="S21" i="1"/>
  <c r="C22" i="1" a="1"/>
  <c r="C22" i="1" s="1"/>
  <c r="L22" i="1"/>
  <c r="S22" i="1"/>
  <c r="C23" i="1" a="1"/>
  <c r="C23" i="1" s="1"/>
  <c r="E23" i="1" s="1"/>
  <c r="L23" i="1"/>
  <c r="E25" i="1"/>
  <c r="L25" i="1"/>
  <c r="S25" i="1"/>
  <c r="E26" i="1"/>
  <c r="L26" i="1"/>
  <c r="S26" i="1"/>
  <c r="E27" i="1"/>
  <c r="E28" i="1"/>
  <c r="L28" i="1"/>
  <c r="S28" i="1"/>
  <c r="E29" i="1"/>
  <c r="L29" i="1"/>
  <c r="S29" i="1"/>
  <c r="E30" i="1"/>
  <c r="L30" i="1"/>
  <c r="E31" i="1"/>
  <c r="E32" i="1"/>
  <c r="L32" i="1"/>
  <c r="E33" i="1"/>
  <c r="L33" i="1"/>
  <c r="E34" i="1"/>
  <c r="L34" i="1"/>
  <c r="S34" i="1"/>
  <c r="E35" i="1"/>
  <c r="E36" i="1"/>
  <c r="L36" i="1"/>
  <c r="S36" i="1"/>
  <c r="E37" i="1"/>
  <c r="L37" i="1"/>
  <c r="S37" i="1"/>
  <c r="E38" i="1"/>
  <c r="L38" i="1"/>
  <c r="S38" i="1"/>
  <c r="E39" i="1"/>
  <c r="E40" i="1"/>
  <c r="L40" i="1"/>
  <c r="S40" i="1"/>
  <c r="E41" i="1"/>
  <c r="L41" i="1"/>
  <c r="S41" i="1"/>
  <c r="E42" i="1"/>
  <c r="L42" i="1"/>
  <c r="S42" i="1"/>
  <c r="E43" i="1"/>
  <c r="L43" i="1"/>
  <c r="S43" i="1"/>
  <c r="E44" i="1"/>
  <c r="E45" i="1"/>
  <c r="L45" i="1"/>
  <c r="S45" i="1"/>
  <c r="E46" i="1"/>
  <c r="L46" i="1"/>
  <c r="S46" i="1"/>
  <c r="E47" i="1"/>
  <c r="E48" i="1"/>
  <c r="L48" i="1"/>
  <c r="S48" i="1"/>
  <c r="E49" i="1"/>
  <c r="L49" i="1"/>
  <c r="S49" i="1"/>
  <c r="E50" i="1"/>
  <c r="L50" i="1"/>
  <c r="E51" i="1"/>
  <c r="L51" i="1"/>
  <c r="S51" i="1"/>
  <c r="E52" i="1"/>
  <c r="E53" i="1"/>
  <c r="L53" i="1"/>
  <c r="S53" i="1"/>
  <c r="E54" i="1"/>
  <c r="L54" i="1"/>
  <c r="E55" i="1"/>
  <c r="L55" i="1"/>
  <c r="S55" i="1"/>
  <c r="E56" i="1"/>
  <c r="L56" i="1"/>
  <c r="S56" i="1"/>
  <c r="E57" i="1"/>
  <c r="L57" i="1"/>
  <c r="E58" i="1"/>
  <c r="E59" i="1"/>
  <c r="L59" i="1"/>
  <c r="S59" i="1"/>
  <c r="E60" i="1"/>
  <c r="L60" i="1"/>
  <c r="S60" i="1"/>
  <c r="E61" i="1"/>
  <c r="L61" i="1"/>
  <c r="S61" i="1"/>
  <c r="E62" i="1"/>
  <c r="L62" i="1"/>
  <c r="S62" i="1"/>
  <c r="E63" i="1"/>
  <c r="L63" i="1"/>
  <c r="S63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T111" i="1"/>
  <c r="U111" i="1"/>
  <c r="T112" i="1"/>
  <c r="U112" i="1"/>
  <c r="T113" i="1"/>
  <c r="U113" i="1"/>
  <c r="T115" i="1"/>
  <c r="U115" i="1"/>
  <c r="T116" i="1"/>
  <c r="U116" i="1"/>
  <c r="T117" i="1"/>
  <c r="U117" i="1"/>
  <c r="T119" i="1"/>
  <c r="U119" i="1"/>
  <c r="T120" i="1"/>
  <c r="T121" i="1"/>
  <c r="T122" i="1"/>
  <c r="D22" i="1" l="1"/>
  <c r="E22" i="1" s="1"/>
  <c r="E20" i="1"/>
  <c r="C20" i="1"/>
  <c r="D15" i="1"/>
  <c r="E15" i="1" s="1"/>
  <c r="D13" i="1"/>
  <c r="E13" i="1" s="1"/>
  <c r="D11" i="1"/>
  <c r="E11" i="1" s="1"/>
</calcChain>
</file>

<file path=xl/sharedStrings.xml><?xml version="1.0" encoding="utf-8"?>
<sst xmlns="http://schemas.openxmlformats.org/spreadsheetml/2006/main" count="1878" uniqueCount="591">
  <si>
    <t xml:space="preserve">Designation </t>
  </si>
  <si>
    <t xml:space="preserve">            </t>
  </si>
  <si>
    <t xml:space="preserve">38x38x3.0   </t>
  </si>
  <si>
    <t xml:space="preserve">50x50x2.5   </t>
  </si>
  <si>
    <t xml:space="preserve">50x50x3.0   </t>
  </si>
  <si>
    <t xml:space="preserve">50x50x3.5   </t>
  </si>
  <si>
    <t xml:space="preserve">50x50x4.0   </t>
  </si>
  <si>
    <t xml:space="preserve">50x50x4.5   </t>
  </si>
  <si>
    <t xml:space="preserve">60x60x2.5   </t>
  </si>
  <si>
    <t xml:space="preserve">60x60x3.0   </t>
  </si>
  <si>
    <t xml:space="preserve">60x60x3.5   </t>
  </si>
  <si>
    <t xml:space="preserve">60x60x4.0   </t>
  </si>
  <si>
    <t xml:space="preserve">60x60x4.5   </t>
  </si>
  <si>
    <t xml:space="preserve">100x100x4.0 </t>
  </si>
  <si>
    <t xml:space="preserve">150x150x4.5 </t>
  </si>
  <si>
    <t xml:space="preserve">150x150x6.0 </t>
  </si>
  <si>
    <t xml:space="preserve">150x150x8.0 </t>
  </si>
  <si>
    <t>150x150x10.0</t>
  </si>
  <si>
    <t xml:space="preserve">200x200x8.0 </t>
  </si>
  <si>
    <t>200x200x10.0</t>
  </si>
  <si>
    <t xml:space="preserve">250x250x8.0 </t>
  </si>
  <si>
    <t>250x250x10.0</t>
  </si>
  <si>
    <t xml:space="preserve">60x40x2.5   </t>
  </si>
  <si>
    <t xml:space="preserve">60x40x3.0   </t>
  </si>
  <si>
    <t xml:space="preserve">76x38x2.5   </t>
  </si>
  <si>
    <t xml:space="preserve">76x38x3.0   </t>
  </si>
  <si>
    <t xml:space="preserve">76x38x3.5   </t>
  </si>
  <si>
    <t xml:space="preserve">80x40x2.5   </t>
  </si>
  <si>
    <t xml:space="preserve">80x40x3.0   </t>
  </si>
  <si>
    <t xml:space="preserve">80x40x3.5   </t>
  </si>
  <si>
    <t xml:space="preserve">80x40x4.0   </t>
  </si>
  <si>
    <t xml:space="preserve">100x50x3.0  </t>
  </si>
  <si>
    <t xml:space="preserve">100x50x3.5  </t>
  </si>
  <si>
    <t xml:space="preserve">100x50x4.0  </t>
  </si>
  <si>
    <t xml:space="preserve">100x50x4.5  </t>
  </si>
  <si>
    <t xml:space="preserve">120x60x3.5  </t>
  </si>
  <si>
    <t xml:space="preserve">120x60x4.5  </t>
  </si>
  <si>
    <t xml:space="preserve">120x60x6.0  </t>
  </si>
  <si>
    <t xml:space="preserve">160x80x5.0  </t>
  </si>
  <si>
    <t xml:space="preserve">160x80x6.0  </t>
  </si>
  <si>
    <t xml:space="preserve">200x100x4.5 </t>
  </si>
  <si>
    <t xml:space="preserve">200x100x6.0 </t>
  </si>
  <si>
    <t xml:space="preserve">200x100x8.0 </t>
  </si>
  <si>
    <t>200x100x10.0</t>
  </si>
  <si>
    <t xml:space="preserve">250x150x8.0 </t>
  </si>
  <si>
    <t>250x150x10.0</t>
  </si>
  <si>
    <t xml:space="preserve"> m  </t>
  </si>
  <si>
    <t>kg/m</t>
  </si>
  <si>
    <t>m</t>
  </si>
  <si>
    <t xml:space="preserve"> mm</t>
  </si>
  <si>
    <t xml:space="preserve"> deg </t>
  </si>
  <si>
    <t xml:space="preserve"> D x t mm  </t>
  </si>
  <si>
    <t xml:space="preserve"> Designation  </t>
  </si>
  <si>
    <t xml:space="preserve">75x50x20x2.0  </t>
  </si>
  <si>
    <t xml:space="preserve">75x50x20x2.5  </t>
  </si>
  <si>
    <t xml:space="preserve">75x50x20x3.0  </t>
  </si>
  <si>
    <t xml:space="preserve">              </t>
  </si>
  <si>
    <t xml:space="preserve">100x50x20x2.0 </t>
  </si>
  <si>
    <t xml:space="preserve">100x50x20x2.5 </t>
  </si>
  <si>
    <t xml:space="preserve">100x50x20x3.0 </t>
  </si>
  <si>
    <t xml:space="preserve">100x75x20x2.0 </t>
  </si>
  <si>
    <t xml:space="preserve">100x75x20x2.5 </t>
  </si>
  <si>
    <t xml:space="preserve">100x75x20x3.0 </t>
  </si>
  <si>
    <t xml:space="preserve">125x50x20x2.0 </t>
  </si>
  <si>
    <t xml:space="preserve">125x50x20x2.5 </t>
  </si>
  <si>
    <t xml:space="preserve">125x50x20x3.0 </t>
  </si>
  <si>
    <t xml:space="preserve">125x65x20x2.0 </t>
  </si>
  <si>
    <t xml:space="preserve">125x65x20x2.5 </t>
  </si>
  <si>
    <t xml:space="preserve">125x65x20x3.0 </t>
  </si>
  <si>
    <t xml:space="preserve">125x75x20x2.0 </t>
  </si>
  <si>
    <t xml:space="preserve">125x75x20x2.5 </t>
  </si>
  <si>
    <t xml:space="preserve">125x75x20x3.0 </t>
  </si>
  <si>
    <t xml:space="preserve">150x50x20x2.0 </t>
  </si>
  <si>
    <t xml:space="preserve">150x50x20x2.5 </t>
  </si>
  <si>
    <t xml:space="preserve">150x50x20x3.0 </t>
  </si>
  <si>
    <t xml:space="preserve">150x65x20x2.0 </t>
  </si>
  <si>
    <t xml:space="preserve">150x65x20x2.5 </t>
  </si>
  <si>
    <t xml:space="preserve">150x65x20x3.0 </t>
  </si>
  <si>
    <t xml:space="preserve">150x65x20x3.5 </t>
  </si>
  <si>
    <t xml:space="preserve">150x75x20x2.0 </t>
  </si>
  <si>
    <t xml:space="preserve">150x75x20x2.5 </t>
  </si>
  <si>
    <t xml:space="preserve">150x75x20x3.0 </t>
  </si>
  <si>
    <t xml:space="preserve">150x75x20x3.5 </t>
  </si>
  <si>
    <t xml:space="preserve">175x50x20x2.0 </t>
  </si>
  <si>
    <t xml:space="preserve">175x50x20x2.5 </t>
  </si>
  <si>
    <t xml:space="preserve">175x50x20x3.0 </t>
  </si>
  <si>
    <t xml:space="preserve">175x50x20x3.5 </t>
  </si>
  <si>
    <t xml:space="preserve">175x65x20x2.0 </t>
  </si>
  <si>
    <t xml:space="preserve">175x65x20x2.5 </t>
  </si>
  <si>
    <t xml:space="preserve">175x65x20x3.0 </t>
  </si>
  <si>
    <t xml:space="preserve">175x65x20x3.5 </t>
  </si>
  <si>
    <t xml:space="preserve">175x65x20x4.5 </t>
  </si>
  <si>
    <t xml:space="preserve">175x75x20x2.5 </t>
  </si>
  <si>
    <t xml:space="preserve">175x75x20x3.0 </t>
  </si>
  <si>
    <t xml:space="preserve">175x75x20x3.5 </t>
  </si>
  <si>
    <t xml:space="preserve">175x75x20x4.5 </t>
  </si>
  <si>
    <t xml:space="preserve">200x75x20x2.5 </t>
  </si>
  <si>
    <t xml:space="preserve">200x75x20x3.0 </t>
  </si>
  <si>
    <t xml:space="preserve">200x75x20x3.5 </t>
  </si>
  <si>
    <t xml:space="preserve">200x75x20x4.5 </t>
  </si>
  <si>
    <t xml:space="preserve">225x75x20x2.5 </t>
  </si>
  <si>
    <t xml:space="preserve">225x75x20x3.0 </t>
  </si>
  <si>
    <t xml:space="preserve">225x75x20x3.5 </t>
  </si>
  <si>
    <t xml:space="preserve">225x75x20x4.5 </t>
  </si>
  <si>
    <t xml:space="preserve">250x75x20x2.5 </t>
  </si>
  <si>
    <t xml:space="preserve">250x75x20x3.0 </t>
  </si>
  <si>
    <t xml:space="preserve">250x75x20x3.5 </t>
  </si>
  <si>
    <t xml:space="preserve">250x75x20x4.5 </t>
  </si>
  <si>
    <t xml:space="preserve">300x75x20x4.0 </t>
  </si>
  <si>
    <t xml:space="preserve">150x75x20x4.5 </t>
  </si>
  <si>
    <t xml:space="preserve">100x50x25x2.0 </t>
  </si>
  <si>
    <t xml:space="preserve">100x50x25x2.5 </t>
  </si>
  <si>
    <t xml:space="preserve">100x50x25x3.0 </t>
  </si>
  <si>
    <t xml:space="preserve">100x75x25x2.0 </t>
  </si>
  <si>
    <t xml:space="preserve">100x75x25x2.5 </t>
  </si>
  <si>
    <t xml:space="preserve">100x75x25x3.0 </t>
  </si>
  <si>
    <t xml:space="preserve">115x75x25x2.0 </t>
  </si>
  <si>
    <t xml:space="preserve">115x75x25x2.5 </t>
  </si>
  <si>
    <t xml:space="preserve">115x75x25x3.0 </t>
  </si>
  <si>
    <t xml:space="preserve">125x75x25x2.5 </t>
  </si>
  <si>
    <t xml:space="preserve">125x75x25x3.0 </t>
  </si>
  <si>
    <t xml:space="preserve">125x75x25x3.5 </t>
  </si>
  <si>
    <t xml:space="preserve">125x75x25x4.5 </t>
  </si>
  <si>
    <t xml:space="preserve">150x75x25x2.5 </t>
  </si>
  <si>
    <t xml:space="preserve">150x75x25x3.0 </t>
  </si>
  <si>
    <t xml:space="preserve">150x75x25x3.5 </t>
  </si>
  <si>
    <t xml:space="preserve">150x75x25x4.5 </t>
  </si>
  <si>
    <t xml:space="preserve">DATABASE OF STRUCTURAL STEEL SECTIONS </t>
  </si>
  <si>
    <t>Square hollow sections</t>
  </si>
  <si>
    <t>Rectangular hollow sections</t>
  </si>
  <si>
    <t>Cold-formed lipped channels</t>
  </si>
  <si>
    <t>Cold-formed lipped zeds</t>
  </si>
  <si>
    <t>Cold-formed lipped angles</t>
  </si>
  <si>
    <t xml:space="preserve">           </t>
  </si>
  <si>
    <t xml:space="preserve">     </t>
  </si>
  <si>
    <t xml:space="preserve">    </t>
  </si>
  <si>
    <t>533x210x101</t>
  </si>
  <si>
    <t>533x210x109</t>
  </si>
  <si>
    <t>533x210x122</t>
  </si>
  <si>
    <t>Designation</t>
  </si>
  <si>
    <t xml:space="preserve">  h  </t>
  </si>
  <si>
    <t xml:space="preserve">  b  </t>
  </si>
  <si>
    <t xml:space="preserve"> A  </t>
  </si>
  <si>
    <t xml:space="preserve"> J  </t>
  </si>
  <si>
    <t xml:space="preserve">mmxmmxkg/m </t>
  </si>
  <si>
    <t xml:space="preserve"> mm  </t>
  </si>
  <si>
    <t xml:space="preserve"> mm </t>
  </si>
  <si>
    <t xml:space="preserve">203x152x52 </t>
  </si>
  <si>
    <t>254x254x107</t>
  </si>
  <si>
    <t>254x254x132</t>
  </si>
  <si>
    <t>254x254x167</t>
  </si>
  <si>
    <t>305x305x118</t>
  </si>
  <si>
    <t>305x305x137</t>
  </si>
  <si>
    <t>305x305x158</t>
  </si>
  <si>
    <t>305x305x198</t>
  </si>
  <si>
    <t xml:space="preserve">25x25x3    </t>
  </si>
  <si>
    <t xml:space="preserve">25x25x5    </t>
  </si>
  <si>
    <t xml:space="preserve">30x30x3    </t>
  </si>
  <si>
    <t xml:space="preserve">30x30x5    </t>
  </si>
  <si>
    <t xml:space="preserve">40x40x3    </t>
  </si>
  <si>
    <t xml:space="preserve">40x40x4    </t>
  </si>
  <si>
    <t xml:space="preserve">40x40x5    </t>
  </si>
  <si>
    <t xml:space="preserve">45x45x3    </t>
  </si>
  <si>
    <t xml:space="preserve">45x45x4    </t>
  </si>
  <si>
    <t xml:space="preserve">45x45x5    </t>
  </si>
  <si>
    <t xml:space="preserve">50x50x3    </t>
  </si>
  <si>
    <t xml:space="preserve">50x50x4    </t>
  </si>
  <si>
    <t xml:space="preserve">50x50x5    </t>
  </si>
  <si>
    <t xml:space="preserve">50x50x6    </t>
  </si>
  <si>
    <t xml:space="preserve">50x50x8    </t>
  </si>
  <si>
    <t xml:space="preserve">60x60x4    </t>
  </si>
  <si>
    <t xml:space="preserve">60x60x5    </t>
  </si>
  <si>
    <t xml:space="preserve">60x60x6    </t>
  </si>
  <si>
    <t xml:space="preserve">60x60x8    </t>
  </si>
  <si>
    <t xml:space="preserve">60x60x10   </t>
  </si>
  <si>
    <t xml:space="preserve">70x70x6    </t>
  </si>
  <si>
    <t xml:space="preserve">70x70x8    </t>
  </si>
  <si>
    <t xml:space="preserve">70x70x10   </t>
  </si>
  <si>
    <t xml:space="preserve">80x80x6    </t>
  </si>
  <si>
    <t xml:space="preserve">80x80x8    </t>
  </si>
  <si>
    <t xml:space="preserve">80x80x10   </t>
  </si>
  <si>
    <t xml:space="preserve">80x80x12   </t>
  </si>
  <si>
    <t xml:space="preserve">90x90x6    </t>
  </si>
  <si>
    <t xml:space="preserve">90x90x8    </t>
  </si>
  <si>
    <t xml:space="preserve">90x90x10   </t>
  </si>
  <si>
    <t xml:space="preserve">90x90x12   </t>
  </si>
  <si>
    <t xml:space="preserve">100x100x8  </t>
  </si>
  <si>
    <t xml:space="preserve">100x100x10 </t>
  </si>
  <si>
    <t xml:space="preserve">100x100x12 </t>
  </si>
  <si>
    <t xml:space="preserve">120x120x8  </t>
  </si>
  <si>
    <t xml:space="preserve">120x120x10 </t>
  </si>
  <si>
    <t xml:space="preserve">120x120x12 </t>
  </si>
  <si>
    <t xml:space="preserve">120x120x15 </t>
  </si>
  <si>
    <t xml:space="preserve">150x150x10 </t>
  </si>
  <si>
    <t xml:space="preserve">150x150x12 </t>
  </si>
  <si>
    <t xml:space="preserve">150x150x15 </t>
  </si>
  <si>
    <t xml:space="preserve">150x150x18 </t>
  </si>
  <si>
    <t xml:space="preserve">200x200x16 </t>
  </si>
  <si>
    <t xml:space="preserve">200x200x18 </t>
  </si>
  <si>
    <t xml:space="preserve">200x200x20 </t>
  </si>
  <si>
    <t xml:space="preserve">200x200x24 </t>
  </si>
  <si>
    <t xml:space="preserve">65x50x6    </t>
  </si>
  <si>
    <t xml:space="preserve">65x50x8    </t>
  </si>
  <si>
    <t xml:space="preserve">75x50x6    </t>
  </si>
  <si>
    <t xml:space="preserve">75x50x8    </t>
  </si>
  <si>
    <t xml:space="preserve">80x60x6    </t>
  </si>
  <si>
    <t xml:space="preserve">80x60x8    </t>
  </si>
  <si>
    <t xml:space="preserve">90x65x6    </t>
  </si>
  <si>
    <t xml:space="preserve">90x65x8    </t>
  </si>
  <si>
    <t xml:space="preserve">90x65x10   </t>
  </si>
  <si>
    <t xml:space="preserve">100x65x8   </t>
  </si>
  <si>
    <t xml:space="preserve">100x65x10  </t>
  </si>
  <si>
    <t xml:space="preserve">100x75x6   </t>
  </si>
  <si>
    <t xml:space="preserve">100x75x8   </t>
  </si>
  <si>
    <t xml:space="preserve">100x75x10  </t>
  </si>
  <si>
    <t xml:space="preserve">100x75x12  </t>
  </si>
  <si>
    <t xml:space="preserve">125x75x8   </t>
  </si>
  <si>
    <t xml:space="preserve">125x75x10  </t>
  </si>
  <si>
    <t xml:space="preserve">125x75x12  </t>
  </si>
  <si>
    <t xml:space="preserve">150x75x10  </t>
  </si>
  <si>
    <t xml:space="preserve">150x75x12  </t>
  </si>
  <si>
    <t xml:space="preserve">150x75x15  </t>
  </si>
  <si>
    <t xml:space="preserve">150x90x10  </t>
  </si>
  <si>
    <t xml:space="preserve">150x90x12  </t>
  </si>
  <si>
    <t xml:space="preserve">150x90x15  </t>
  </si>
  <si>
    <t>I-sections (Parallel flange)</t>
  </si>
  <si>
    <t>I-sections (Taper flange)</t>
  </si>
  <si>
    <t>H-sections (Parallel flange)</t>
  </si>
  <si>
    <t>Angles (Equal leg)</t>
  </si>
  <si>
    <t>Angles (Unequal leg)</t>
  </si>
  <si>
    <t>Circular hollow sections</t>
  </si>
  <si>
    <r>
      <t>10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 xml:space="preserve"> mm</t>
    </r>
    <r>
      <rPr>
        <b/>
        <vertAlign val="superscript"/>
        <sz val="10"/>
        <rFont val="Arial"/>
        <family val="2"/>
      </rPr>
      <t>2</t>
    </r>
  </si>
  <si>
    <r>
      <t>10</t>
    </r>
    <r>
      <rPr>
        <b/>
        <vertAlign val="superscript"/>
        <sz val="10"/>
        <rFont val="Arial"/>
        <family val="2"/>
      </rPr>
      <t>6</t>
    </r>
    <r>
      <rPr>
        <b/>
        <sz val="10"/>
        <rFont val="Arial"/>
        <family val="2"/>
      </rPr>
      <t xml:space="preserve"> mm</t>
    </r>
    <r>
      <rPr>
        <b/>
        <vertAlign val="superscript"/>
        <sz val="10"/>
        <rFont val="Arial"/>
        <family val="2"/>
      </rPr>
      <t>4</t>
    </r>
  </si>
  <si>
    <r>
      <t>10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mm</t>
    </r>
    <r>
      <rPr>
        <b/>
        <vertAlign val="superscript"/>
        <sz val="10"/>
        <rFont val="Arial"/>
        <family val="2"/>
      </rPr>
      <t>3</t>
    </r>
  </si>
  <si>
    <r>
      <t>10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mm</t>
    </r>
    <r>
      <rPr>
        <b/>
        <vertAlign val="superscript"/>
        <sz val="10"/>
        <rFont val="Arial"/>
        <family val="2"/>
      </rPr>
      <t>4</t>
    </r>
  </si>
  <si>
    <t>b</t>
  </si>
  <si>
    <t xml:space="preserve">48.4x2.5     </t>
  </si>
  <si>
    <t xml:space="preserve">48.4x3.0     </t>
  </si>
  <si>
    <t xml:space="preserve">48.4x3.5     </t>
  </si>
  <si>
    <t xml:space="preserve">48.4x4.0     </t>
  </si>
  <si>
    <t xml:space="preserve">60.3x2.5     </t>
  </si>
  <si>
    <t xml:space="preserve">60.3x3.0     </t>
  </si>
  <si>
    <t xml:space="preserve">60.3x3.5     </t>
  </si>
  <si>
    <t xml:space="preserve">60.3x4.0     </t>
  </si>
  <si>
    <t>60.3x4.5</t>
  </si>
  <si>
    <t xml:space="preserve">63.5x2.5     </t>
  </si>
  <si>
    <t xml:space="preserve">63.5x3.0     </t>
  </si>
  <si>
    <t xml:space="preserve">63.5x3.5     </t>
  </si>
  <si>
    <t xml:space="preserve">63.5x4.0     </t>
  </si>
  <si>
    <t xml:space="preserve">63.5x4.5     </t>
  </si>
  <si>
    <t xml:space="preserve">76.2x2.5     </t>
  </si>
  <si>
    <t xml:space="preserve">76.2x3.0     </t>
  </si>
  <si>
    <t xml:space="preserve">76.2x3.5     </t>
  </si>
  <si>
    <t xml:space="preserve">76.2x4.0     </t>
  </si>
  <si>
    <t xml:space="preserve">76.2x5.0     </t>
  </si>
  <si>
    <t>76.2x6.0</t>
  </si>
  <si>
    <t>88.9x6.0</t>
  </si>
  <si>
    <t xml:space="preserve">88.9x3.0     </t>
  </si>
  <si>
    <t xml:space="preserve">88.9x3.5     </t>
  </si>
  <si>
    <t xml:space="preserve">88.9x4.0     </t>
  </si>
  <si>
    <t xml:space="preserve">88.9x5.0     </t>
  </si>
  <si>
    <t>88.9x2.5</t>
  </si>
  <si>
    <t>88.9x4.5</t>
  </si>
  <si>
    <t>76.2x4.5</t>
  </si>
  <si>
    <t>101.6x2.5</t>
  </si>
  <si>
    <t xml:space="preserve">101.6x3.0    </t>
  </si>
  <si>
    <t xml:space="preserve">101.6x3.5    </t>
  </si>
  <si>
    <t xml:space="preserve">101.6x4.0    </t>
  </si>
  <si>
    <t>101.6x4.5</t>
  </si>
  <si>
    <t>101.6x5.0</t>
  </si>
  <si>
    <t>101.6x6.0</t>
  </si>
  <si>
    <t>114.3x2.5</t>
  </si>
  <si>
    <t>114.3x3.0</t>
  </si>
  <si>
    <t>114.3x3.5</t>
  </si>
  <si>
    <t>114.3x4.0</t>
  </si>
  <si>
    <t>114.3x4.5</t>
  </si>
  <si>
    <t>114.3x5.0</t>
  </si>
  <si>
    <t>114.3x6.0</t>
  </si>
  <si>
    <t>127.0x2.5</t>
  </si>
  <si>
    <t>127.0x3.0</t>
  </si>
  <si>
    <t>127.0x3.5</t>
  </si>
  <si>
    <t>127.0x4.0</t>
  </si>
  <si>
    <t>127.0x4.5</t>
  </si>
  <si>
    <t>127.0x5.0</t>
  </si>
  <si>
    <t>127.0x6.0</t>
  </si>
  <si>
    <t>139.7x3.0</t>
  </si>
  <si>
    <t>139.7x3.5</t>
  </si>
  <si>
    <t>139.7x4.0</t>
  </si>
  <si>
    <t>139.7x4.5</t>
  </si>
  <si>
    <t>139.7x5.0</t>
  </si>
  <si>
    <t>139.7x6.0</t>
  </si>
  <si>
    <t>152.4x3.0</t>
  </si>
  <si>
    <t>152.4x3.5</t>
  </si>
  <si>
    <t>152.4x4.0</t>
  </si>
  <si>
    <t>152.4x4.5</t>
  </si>
  <si>
    <t>152.4x5.0</t>
  </si>
  <si>
    <t>152.4x6.0</t>
  </si>
  <si>
    <t>165.1x3.0</t>
  </si>
  <si>
    <t>165.1x3.5</t>
  </si>
  <si>
    <t>165.1x4.0</t>
  </si>
  <si>
    <t>165.1x4.5</t>
  </si>
  <si>
    <t>165.1x5.0</t>
  </si>
  <si>
    <t>165.1x6.0</t>
  </si>
  <si>
    <t>177.8x5.0</t>
  </si>
  <si>
    <t>177.8x6.0</t>
  </si>
  <si>
    <t xml:space="preserve">193.7x3.5    </t>
  </si>
  <si>
    <t xml:space="preserve">193.7x4.5    </t>
  </si>
  <si>
    <t xml:space="preserve">193.7x6.0    </t>
  </si>
  <si>
    <t>193.7x4.0</t>
  </si>
  <si>
    <t xml:space="preserve">219.1x3.5    </t>
  </si>
  <si>
    <t xml:space="preserve">219.1x4.5    </t>
  </si>
  <si>
    <t xml:space="preserve">219.1x6.0    </t>
  </si>
  <si>
    <t xml:space="preserve">219.1x8.0    </t>
  </si>
  <si>
    <t xml:space="preserve">219.1x10.0   </t>
  </si>
  <si>
    <t xml:space="preserve">273.1x6.0    </t>
  </si>
  <si>
    <t xml:space="preserve">273.1x8.0    </t>
  </si>
  <si>
    <t xml:space="preserve">273.1x10.0   </t>
  </si>
  <si>
    <t xml:space="preserve">273.1x12.0   </t>
  </si>
  <si>
    <t xml:space="preserve">323.9x6.0    </t>
  </si>
  <si>
    <t xml:space="preserve">323.9x8.0    </t>
  </si>
  <si>
    <t xml:space="preserve">323.9x10.0   </t>
  </si>
  <si>
    <t xml:space="preserve">355.6x6.0    </t>
  </si>
  <si>
    <t xml:space="preserve">355.6x8.0    </t>
  </si>
  <si>
    <t xml:space="preserve">355.6x10.0   </t>
  </si>
  <si>
    <t xml:space="preserve">355.6x12.0   </t>
  </si>
  <si>
    <t xml:space="preserve">406.4x8.0    </t>
  </si>
  <si>
    <t xml:space="preserve">406.4x10.0   </t>
  </si>
  <si>
    <t xml:space="preserve">406.4x12.0   </t>
  </si>
  <si>
    <t xml:space="preserve">457.0x8.0    </t>
  </si>
  <si>
    <t xml:space="preserve">457.0x10.0   </t>
  </si>
  <si>
    <t xml:space="preserve">457.0x12.0   </t>
  </si>
  <si>
    <t>508.0x8.0</t>
  </si>
  <si>
    <t>508.0x10.0</t>
  </si>
  <si>
    <t>508.0x12.0</t>
  </si>
  <si>
    <t xml:space="preserve">323.9x12.0   </t>
  </si>
  <si>
    <t xml:space="preserve">75x75x3.0   </t>
  </si>
  <si>
    <t>75x75x3.5</t>
  </si>
  <si>
    <t>75x75x4.0</t>
  </si>
  <si>
    <t>75x75x4.5</t>
  </si>
  <si>
    <t>75x75x5.0</t>
  </si>
  <si>
    <t>75x75x2.5</t>
  </si>
  <si>
    <t>80x80x4.0</t>
  </si>
  <si>
    <t>75x75x6.0</t>
  </si>
  <si>
    <t>80x80x3.0</t>
  </si>
  <si>
    <t>80x80x3.5</t>
  </si>
  <si>
    <t>80x80x4.5</t>
  </si>
  <si>
    <t>80x80x5.0</t>
  </si>
  <si>
    <t>80x80x6.0</t>
  </si>
  <si>
    <t>100x100x3.0</t>
  </si>
  <si>
    <t xml:space="preserve">100x100x3.5 </t>
  </si>
  <si>
    <t>100x100x4.5</t>
  </si>
  <si>
    <t>100x100x5.0</t>
  </si>
  <si>
    <t>100x100x6.0</t>
  </si>
  <si>
    <t>120x120x3.5</t>
  </si>
  <si>
    <t>120x120x4.0</t>
  </si>
  <si>
    <t>120x120x4.5</t>
  </si>
  <si>
    <t>120x120x5.0</t>
  </si>
  <si>
    <t>120x120x6.0</t>
  </si>
  <si>
    <t xml:space="preserve">175x175x4.5 </t>
  </si>
  <si>
    <t>175x175x6.0</t>
  </si>
  <si>
    <t>175x175x8.0</t>
  </si>
  <si>
    <t>175x175x10.0</t>
  </si>
  <si>
    <t>220x220x8.0</t>
  </si>
  <si>
    <t>220x220x10.0</t>
  </si>
  <si>
    <t>285x285x8.0</t>
  </si>
  <si>
    <t>285x285x10.0</t>
  </si>
  <si>
    <t>60x40x3.5</t>
  </si>
  <si>
    <t>60x40x4.0</t>
  </si>
  <si>
    <t>60x40x4.5</t>
  </si>
  <si>
    <t>76x38x4.0</t>
  </si>
  <si>
    <t>76x38x4.5</t>
  </si>
  <si>
    <t>80x40x4.5</t>
  </si>
  <si>
    <t>100x50x5.0</t>
  </si>
  <si>
    <t>100x50x6.0</t>
  </si>
  <si>
    <t>120x60x4.0</t>
  </si>
  <si>
    <t>120x60x5.0</t>
  </si>
  <si>
    <t>160x80x4.5</t>
  </si>
  <si>
    <t>250x100x8.0</t>
  </si>
  <si>
    <t>250x100x10.0</t>
  </si>
  <si>
    <t>300x140x8.0</t>
  </si>
  <si>
    <t>300x140x10.0</t>
  </si>
  <si>
    <t>219.1x4.0</t>
  </si>
  <si>
    <t>320x200x10.0</t>
  </si>
  <si>
    <t>340x180x10.0</t>
  </si>
  <si>
    <t>38x38x3.5</t>
  </si>
  <si>
    <t>200x200x6.0</t>
  </si>
  <si>
    <t>150x150x4.0</t>
  </si>
  <si>
    <t>305x102x28</t>
  </si>
  <si>
    <t>305x165x40</t>
  </si>
  <si>
    <t>406x178x74</t>
  </si>
  <si>
    <t>457x191x74</t>
  </si>
  <si>
    <t>457x191x89</t>
  </si>
  <si>
    <t>533x210x92</t>
  </si>
  <si>
    <t>200x100x20x2.5</t>
  </si>
  <si>
    <t>200x100x20x3.0</t>
  </si>
  <si>
    <t>200x100x20x3.5</t>
  </si>
  <si>
    <t>250x100x20x2.5</t>
  </si>
  <si>
    <t>250x100x20x3.0</t>
  </si>
  <si>
    <t>250x100x20x3.5</t>
  </si>
  <si>
    <t>250x100x20x4.5</t>
  </si>
  <si>
    <t>275x75x20x2.5</t>
  </si>
  <si>
    <t>275x75x20x3.0</t>
  </si>
  <si>
    <t>275x75x20x3.5</t>
  </si>
  <si>
    <t>275x100x20x2.5</t>
  </si>
  <si>
    <t>275x100x20x3.0</t>
  </si>
  <si>
    <t>275x100x20x3.5</t>
  </si>
  <si>
    <t>275x100x20x4.5</t>
  </si>
  <si>
    <t xml:space="preserve">300x75x20x2.5 </t>
  </si>
  <si>
    <t>300x75x20x3.0</t>
  </si>
  <si>
    <t>300x75x20x3.5</t>
  </si>
  <si>
    <t>300x100x20x2.5</t>
  </si>
  <si>
    <t>300x100x20x3.0</t>
  </si>
  <si>
    <t>300x100x20x3.5</t>
  </si>
  <si>
    <t>300x100x20x4.5</t>
  </si>
  <si>
    <t xml:space="preserve">38x38x2.5 </t>
  </si>
  <si>
    <t>200x200x4.5</t>
  </si>
  <si>
    <t>250x250x4.5</t>
  </si>
  <si>
    <t>I</t>
  </si>
  <si>
    <t>r</t>
  </si>
  <si>
    <t>J</t>
  </si>
  <si>
    <t>mm</t>
  </si>
  <si>
    <t>305x305x240</t>
  </si>
  <si>
    <t>80x80x2,5</t>
  </si>
  <si>
    <t>150x100x3.0</t>
  </si>
  <si>
    <t>150x100x3.5</t>
  </si>
  <si>
    <t>150x100x4.0</t>
  </si>
  <si>
    <t>150x100x4.5</t>
  </si>
  <si>
    <t>150x100x5.0</t>
  </si>
  <si>
    <t>150x100x6.0</t>
  </si>
  <si>
    <t>200x150x6.0</t>
  </si>
  <si>
    <t>200x150x8.0</t>
  </si>
  <si>
    <t>200x150x10.0</t>
  </si>
  <si>
    <t>200x100x20x4.5</t>
  </si>
  <si>
    <t>225x100x20x2.5</t>
  </si>
  <si>
    <t>225x100x20x3.0</t>
  </si>
  <si>
    <t>225x100x20x3.5</t>
  </si>
  <si>
    <t>225x100x20x4.5</t>
  </si>
  <si>
    <t>About x-x</t>
  </si>
  <si>
    <t>About y-y</t>
  </si>
  <si>
    <t>Taper flange channels</t>
  </si>
  <si>
    <t xml:space="preserve">C76x38 </t>
  </si>
  <si>
    <t>C100x50</t>
  </si>
  <si>
    <t xml:space="preserve">C120x55  </t>
  </si>
  <si>
    <t xml:space="preserve">C127x64  </t>
  </si>
  <si>
    <t xml:space="preserve">C140x60 </t>
  </si>
  <si>
    <t xml:space="preserve">C152x76  </t>
  </si>
  <si>
    <t>C160x65</t>
  </si>
  <si>
    <t>C178x54</t>
  </si>
  <si>
    <t xml:space="preserve">C180x70  </t>
  </si>
  <si>
    <t xml:space="preserve">C200x75  </t>
  </si>
  <si>
    <r>
      <t xml:space="preserve"> t</t>
    </r>
    <r>
      <rPr>
        <b/>
        <vertAlign val="subscript"/>
        <sz val="12"/>
        <rFont val="Arial"/>
        <family val="2"/>
      </rPr>
      <t>w</t>
    </r>
    <r>
      <rPr>
        <b/>
        <sz val="12"/>
        <rFont val="Arial"/>
        <family val="2"/>
      </rPr>
      <t xml:space="preserve"> </t>
    </r>
  </si>
  <si>
    <r>
      <t xml:space="preserve"> t</t>
    </r>
    <r>
      <rPr>
        <b/>
        <vertAlign val="subscript"/>
        <sz val="12"/>
        <rFont val="Arial"/>
        <family val="2"/>
      </rPr>
      <t xml:space="preserve">f </t>
    </r>
  </si>
  <si>
    <r>
      <t>r</t>
    </r>
    <r>
      <rPr>
        <b/>
        <vertAlign val="subscript"/>
        <sz val="12"/>
        <rFont val="Arial"/>
        <family val="2"/>
      </rPr>
      <t>1</t>
    </r>
  </si>
  <si>
    <r>
      <t>r</t>
    </r>
    <r>
      <rPr>
        <b/>
        <vertAlign val="subscript"/>
        <sz val="12"/>
        <rFont val="Arial"/>
        <family val="2"/>
      </rPr>
      <t>2</t>
    </r>
  </si>
  <si>
    <t xml:space="preserve">mmxmm </t>
  </si>
  <si>
    <t>Parallel flange channels</t>
  </si>
  <si>
    <t xml:space="preserve">PC100x50 </t>
  </si>
  <si>
    <t xml:space="preserve">PC180x70 </t>
  </si>
  <si>
    <t xml:space="preserve">PC200x75 </t>
  </si>
  <si>
    <t xml:space="preserve">PC230x90 </t>
  </si>
  <si>
    <t>PC260x90</t>
  </si>
  <si>
    <t>PC300x100</t>
  </si>
  <si>
    <t>Channels</t>
  </si>
  <si>
    <t>α</t>
  </si>
  <si>
    <t>deg</t>
  </si>
  <si>
    <r>
      <t xml:space="preserve"> r</t>
    </r>
    <r>
      <rPr>
        <b/>
        <vertAlign val="subscript"/>
        <sz val="12"/>
        <rFont val="Arial"/>
        <family val="2"/>
      </rPr>
      <t xml:space="preserve">v </t>
    </r>
  </si>
  <si>
    <r>
      <t xml:space="preserve"> a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</t>
    </r>
  </si>
  <si>
    <r>
      <t xml:space="preserve"> </t>
    </r>
    <r>
      <rPr>
        <b/>
        <sz val="12"/>
        <rFont val="Arial"/>
        <family val="2"/>
      </rPr>
      <t>a</t>
    </r>
    <r>
      <rPr>
        <b/>
        <vertAlign val="subscript"/>
        <sz val="12"/>
        <rFont val="Arial"/>
        <family val="2"/>
      </rPr>
      <t xml:space="preserve">y </t>
    </r>
  </si>
  <si>
    <t xml:space="preserve">177.8x3.5 </t>
  </si>
  <si>
    <t xml:space="preserve">177.8x4.0 </t>
  </si>
  <si>
    <t xml:space="preserve">177.8x4.5  </t>
  </si>
  <si>
    <t>457.0x6.0</t>
  </si>
  <si>
    <t>406.4x6.0</t>
  </si>
  <si>
    <t>175x175x4.0</t>
  </si>
  <si>
    <t>220x220x6.0</t>
  </si>
  <si>
    <t xml:space="preserve">250x250x6.0 </t>
  </si>
  <si>
    <t>100x100x2.5</t>
  </si>
  <si>
    <t>120x120x3.0</t>
  </si>
  <si>
    <t>100x50x2.5</t>
  </si>
  <si>
    <t>120x60x3.0</t>
  </si>
  <si>
    <t>160x80x3.0</t>
  </si>
  <si>
    <t>160x80x3.5</t>
  </si>
  <si>
    <t>160x80x4.0</t>
  </si>
  <si>
    <t>200x100x4.0</t>
  </si>
  <si>
    <t>250x100x4.0</t>
  </si>
  <si>
    <t>250x100x4.5</t>
  </si>
  <si>
    <t>250x100x6.0</t>
  </si>
  <si>
    <t xml:space="preserve">250x150x6.0 </t>
  </si>
  <si>
    <t>300x140x6.0</t>
  </si>
  <si>
    <t>320x200x6.0</t>
  </si>
  <si>
    <t>320x200x8.0</t>
  </si>
  <si>
    <t>340x180x6.0</t>
  </si>
  <si>
    <t>340x180x8.0</t>
  </si>
  <si>
    <t>For the meaning of symbols - see the Red Book</t>
  </si>
  <si>
    <r>
      <t>10</t>
    </r>
    <r>
      <rPr>
        <b/>
        <vertAlign val="superscript"/>
        <sz val="10"/>
        <rFont val="Arial"/>
        <family val="2"/>
      </rPr>
      <t>9</t>
    </r>
    <r>
      <rPr>
        <b/>
        <sz val="10"/>
        <rFont val="Arial"/>
        <family val="2"/>
      </rPr>
      <t>mm</t>
    </r>
    <r>
      <rPr>
        <b/>
        <vertAlign val="superscript"/>
        <sz val="10"/>
        <rFont val="Arial"/>
        <family val="2"/>
      </rPr>
      <t>6</t>
    </r>
  </si>
  <si>
    <t xml:space="preserve">J </t>
  </si>
  <si>
    <t xml:space="preserve"> hxbxcxt   </t>
  </si>
  <si>
    <r>
      <t>x</t>
    </r>
    <r>
      <rPr>
        <b/>
        <i/>
        <vertAlign val="subscript"/>
        <sz val="12"/>
        <color indexed="8"/>
        <rFont val="Calibri"/>
        <family val="2"/>
      </rPr>
      <t>0</t>
    </r>
  </si>
  <si>
    <t>200x150x4.0</t>
  </si>
  <si>
    <t>200x150x4.5</t>
  </si>
  <si>
    <t xml:space="preserve"> hxbxt </t>
  </si>
  <si>
    <r>
      <t>10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 xml:space="preserve"> mm</t>
    </r>
    <r>
      <rPr>
        <b/>
        <vertAlign val="superscript"/>
        <sz val="12"/>
        <rFont val="Arial"/>
        <family val="2"/>
      </rPr>
      <t>2</t>
    </r>
  </si>
  <si>
    <r>
      <t>10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mm</t>
    </r>
    <r>
      <rPr>
        <b/>
        <vertAlign val="superscript"/>
        <sz val="12"/>
        <rFont val="Arial"/>
        <family val="2"/>
      </rPr>
      <t>4</t>
    </r>
  </si>
  <si>
    <r>
      <t>10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>mm</t>
    </r>
    <r>
      <rPr>
        <b/>
        <vertAlign val="superscript"/>
        <sz val="12"/>
        <rFont val="Arial"/>
        <family val="2"/>
      </rPr>
      <t>3</t>
    </r>
  </si>
  <si>
    <r>
      <t>10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>mm</t>
    </r>
    <r>
      <rPr>
        <b/>
        <vertAlign val="superscript"/>
        <sz val="12"/>
        <rFont val="Arial"/>
        <family val="2"/>
      </rPr>
      <t>4</t>
    </r>
  </si>
  <si>
    <r>
      <t xml:space="preserve"> a</t>
    </r>
    <r>
      <rPr>
        <b/>
        <i/>
        <vertAlign val="subscript"/>
        <sz val="12"/>
        <rFont val="Arial"/>
        <family val="2"/>
      </rPr>
      <t xml:space="preserve">y </t>
    </r>
  </si>
  <si>
    <r>
      <t>Z</t>
    </r>
    <r>
      <rPr>
        <b/>
        <i/>
        <vertAlign val="subscript"/>
        <sz val="12"/>
        <rFont val="Arial"/>
        <family val="2"/>
      </rPr>
      <t>e</t>
    </r>
  </si>
  <si>
    <r>
      <t>I</t>
    </r>
    <r>
      <rPr>
        <b/>
        <i/>
        <vertAlign val="subscript"/>
        <sz val="12"/>
        <rFont val="Arial"/>
        <family val="2"/>
      </rPr>
      <t>w</t>
    </r>
  </si>
  <si>
    <r>
      <t>10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 xml:space="preserve"> mm</t>
    </r>
    <r>
      <rPr>
        <b/>
        <vertAlign val="superscript"/>
        <sz val="11"/>
        <rFont val="Arial"/>
        <family val="2"/>
      </rPr>
      <t>2</t>
    </r>
  </si>
  <si>
    <r>
      <t>10</t>
    </r>
    <r>
      <rPr>
        <b/>
        <vertAlign val="superscript"/>
        <sz val="11"/>
        <rFont val="Arial"/>
        <family val="2"/>
      </rPr>
      <t>6</t>
    </r>
    <r>
      <rPr>
        <b/>
        <sz val="11"/>
        <rFont val="Arial"/>
        <family val="2"/>
      </rPr>
      <t xml:space="preserve"> mm</t>
    </r>
    <r>
      <rPr>
        <b/>
        <vertAlign val="superscript"/>
        <sz val="11"/>
        <rFont val="Arial"/>
        <family val="2"/>
      </rPr>
      <t>4</t>
    </r>
  </si>
  <si>
    <r>
      <t>10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mm</t>
    </r>
    <r>
      <rPr>
        <b/>
        <vertAlign val="superscript"/>
        <sz val="11"/>
        <rFont val="Arial"/>
        <family val="2"/>
      </rPr>
      <t>3</t>
    </r>
  </si>
  <si>
    <r>
      <t>10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mm4</t>
    </r>
  </si>
  <si>
    <r>
      <t>10</t>
    </r>
    <r>
      <rPr>
        <b/>
        <vertAlign val="superscript"/>
        <sz val="11"/>
        <rFont val="Arial"/>
        <family val="2"/>
      </rPr>
      <t>9</t>
    </r>
    <r>
      <rPr>
        <b/>
        <sz val="11"/>
        <rFont val="Arial"/>
        <family val="2"/>
      </rPr>
      <t>mm</t>
    </r>
    <r>
      <rPr>
        <b/>
        <vertAlign val="superscript"/>
        <sz val="11"/>
        <rFont val="Arial"/>
        <family val="2"/>
      </rPr>
      <t>6</t>
    </r>
  </si>
  <si>
    <r>
      <t>Z</t>
    </r>
    <r>
      <rPr>
        <b/>
        <vertAlign val="subscript"/>
        <sz val="12"/>
        <rFont val="Arial"/>
        <family val="2"/>
      </rPr>
      <t>pl</t>
    </r>
  </si>
  <si>
    <r>
      <t xml:space="preserve"> </t>
    </r>
    <r>
      <rPr>
        <b/>
        <sz val="12"/>
        <rFont val="Bookman"/>
        <family val="1"/>
      </rPr>
      <t>I</t>
    </r>
    <r>
      <rPr>
        <b/>
        <vertAlign val="subscript"/>
        <sz val="12"/>
        <rFont val="Arial"/>
        <family val="2"/>
      </rPr>
      <t xml:space="preserve"> </t>
    </r>
  </si>
  <si>
    <r>
      <t xml:space="preserve"> r</t>
    </r>
    <r>
      <rPr>
        <b/>
        <vertAlign val="subscript"/>
        <sz val="12"/>
        <rFont val="Arial"/>
        <family val="2"/>
      </rPr>
      <t xml:space="preserve"> </t>
    </r>
  </si>
  <si>
    <r>
      <t xml:space="preserve"> Z</t>
    </r>
    <r>
      <rPr>
        <b/>
        <vertAlign val="subscript"/>
        <sz val="12"/>
        <rFont val="Arial"/>
        <family val="2"/>
      </rPr>
      <t>e</t>
    </r>
  </si>
  <si>
    <r>
      <t>C</t>
    </r>
    <r>
      <rPr>
        <b/>
        <vertAlign val="subscript"/>
        <sz val="12"/>
        <rFont val="Arial"/>
        <family val="2"/>
      </rPr>
      <t>w</t>
    </r>
  </si>
  <si>
    <r>
      <t>h</t>
    </r>
    <r>
      <rPr>
        <b/>
        <vertAlign val="subscript"/>
        <sz val="12"/>
        <rFont val="Arial"/>
        <family val="2"/>
      </rPr>
      <t>w</t>
    </r>
  </si>
  <si>
    <t>-</t>
  </si>
  <si>
    <r>
      <t xml:space="preserve"> b</t>
    </r>
    <r>
      <rPr>
        <b/>
        <vertAlign val="subscript"/>
        <sz val="12"/>
        <rFont val="Arial"/>
        <family val="2"/>
      </rPr>
      <t xml:space="preserve">1 </t>
    </r>
  </si>
  <si>
    <r>
      <t xml:space="preserve"> a</t>
    </r>
    <r>
      <rPr>
        <b/>
        <vertAlign val="subscript"/>
        <sz val="12"/>
        <rFont val="Arial"/>
        <family val="2"/>
      </rPr>
      <t xml:space="preserve">c </t>
    </r>
  </si>
  <si>
    <r>
      <t xml:space="preserve"> a</t>
    </r>
    <r>
      <rPr>
        <b/>
        <vertAlign val="subscript"/>
        <sz val="12"/>
        <rFont val="Arial"/>
        <family val="2"/>
      </rPr>
      <t xml:space="preserve">y </t>
    </r>
  </si>
  <si>
    <r>
      <t>10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mm</t>
    </r>
    <r>
      <rPr>
        <b/>
        <vertAlign val="superscript"/>
        <sz val="11"/>
        <rFont val="Arial"/>
        <family val="2"/>
      </rPr>
      <t>4</t>
    </r>
  </si>
  <si>
    <r>
      <t>a</t>
    </r>
    <r>
      <rPr>
        <b/>
        <vertAlign val="subscript"/>
        <sz val="12"/>
        <rFont val="Arial"/>
        <family val="2"/>
      </rPr>
      <t>x</t>
    </r>
  </si>
  <si>
    <t>About u-u</t>
  </si>
  <si>
    <t>About v-v</t>
  </si>
  <si>
    <r>
      <t xml:space="preserve"> </t>
    </r>
    <r>
      <rPr>
        <b/>
        <sz val="12"/>
        <rFont val="Bookman"/>
        <family val="1"/>
      </rPr>
      <t>I</t>
    </r>
  </si>
  <si>
    <t xml:space="preserve">mmxmmxmm </t>
  </si>
  <si>
    <r>
      <t>a</t>
    </r>
    <r>
      <rPr>
        <b/>
        <vertAlign val="subscript"/>
        <sz val="12"/>
        <rFont val="Arial"/>
        <family val="2"/>
      </rPr>
      <t>y</t>
    </r>
  </si>
  <si>
    <r>
      <t xml:space="preserve"> r</t>
    </r>
    <r>
      <rPr>
        <b/>
        <vertAlign val="subscript"/>
        <sz val="12"/>
        <rFont val="Arial"/>
        <family val="2"/>
      </rPr>
      <t>x</t>
    </r>
  </si>
  <si>
    <r>
      <t xml:space="preserve"> </t>
    </r>
    <r>
      <rPr>
        <b/>
        <i/>
        <sz val="12"/>
        <rFont val="Bookman"/>
        <family val="1"/>
      </rPr>
      <t>I</t>
    </r>
  </si>
  <si>
    <t xml:space="preserve"> Z</t>
  </si>
  <si>
    <r>
      <t>Z</t>
    </r>
    <r>
      <rPr>
        <b/>
        <i/>
        <vertAlign val="subscript"/>
        <sz val="12"/>
        <rFont val="Arial"/>
        <family val="2"/>
      </rPr>
      <t>pl</t>
    </r>
  </si>
  <si>
    <t xml:space="preserve"> r</t>
  </si>
  <si>
    <t>About x-x or y-y</t>
  </si>
  <si>
    <r>
      <t xml:space="preserve"> </t>
    </r>
    <r>
      <rPr>
        <b/>
        <i/>
        <sz val="12"/>
        <rFont val="Bookman"/>
        <family val="1"/>
      </rPr>
      <t>I</t>
    </r>
    <r>
      <rPr>
        <b/>
        <i/>
        <vertAlign val="subscript"/>
        <sz val="12"/>
        <rFont val="Arial"/>
        <family val="2"/>
      </rPr>
      <t xml:space="preserve"> </t>
    </r>
  </si>
  <si>
    <r>
      <t xml:space="preserve"> r</t>
    </r>
    <r>
      <rPr>
        <b/>
        <i/>
        <vertAlign val="subscript"/>
        <sz val="12"/>
        <rFont val="Arial"/>
        <family val="2"/>
      </rPr>
      <t xml:space="preserve"> </t>
    </r>
  </si>
  <si>
    <r>
      <t xml:space="preserve"> Z</t>
    </r>
    <r>
      <rPr>
        <b/>
        <i/>
        <vertAlign val="subscript"/>
        <sz val="12"/>
        <rFont val="Arial"/>
        <family val="2"/>
      </rPr>
      <t xml:space="preserve">e </t>
    </r>
  </si>
  <si>
    <r>
      <t xml:space="preserve"> r</t>
    </r>
    <r>
      <rPr>
        <b/>
        <i/>
        <sz val="12"/>
        <rFont val="Arial"/>
        <family val="2"/>
      </rPr>
      <t xml:space="preserve"> </t>
    </r>
  </si>
  <si>
    <r>
      <t>r</t>
    </r>
    <r>
      <rPr>
        <b/>
        <vertAlign val="subscript"/>
        <sz val="12"/>
        <rFont val="Arial"/>
        <family val="2"/>
      </rPr>
      <t>v</t>
    </r>
  </si>
  <si>
    <t>Note: Sections marked in green only available on special order</t>
  </si>
  <si>
    <t>Note: Section marked in green only available on special order</t>
  </si>
  <si>
    <t>50x25x2.5</t>
  </si>
  <si>
    <t>50x25x3.0</t>
  </si>
  <si>
    <t>59x25x3.5</t>
  </si>
  <si>
    <t>305x305x97</t>
  </si>
  <si>
    <t>254x254x89</t>
  </si>
  <si>
    <t>254x254x73</t>
  </si>
  <si>
    <t>203x203x86</t>
  </si>
  <si>
    <t>203x203x71</t>
  </si>
  <si>
    <t>203x203x60</t>
  </si>
  <si>
    <t>203x203x52</t>
  </si>
  <si>
    <t>203x203x46</t>
  </si>
  <si>
    <t>152x152x37</t>
  </si>
  <si>
    <t>152x152x30</t>
  </si>
  <si>
    <t>152x152x23</t>
  </si>
  <si>
    <t>533x210x82</t>
  </si>
  <si>
    <t>457x191x98</t>
  </si>
  <si>
    <t>406x178x67</t>
  </si>
  <si>
    <t>406x178x60</t>
  </si>
  <si>
    <t>406x178x54</t>
  </si>
  <si>
    <t>IPE-AA 100</t>
  </si>
  <si>
    <t>IPE 100</t>
  </si>
  <si>
    <t>IPE-AA 120</t>
  </si>
  <si>
    <t>IPE 120</t>
  </si>
  <si>
    <t>IPE-AA 140</t>
  </si>
  <si>
    <t>IPE 140</t>
  </si>
  <si>
    <t>IPE-AA 160</t>
  </si>
  <si>
    <t>IPE 160</t>
  </si>
  <si>
    <t>IPE-AA 180</t>
  </si>
  <si>
    <t>IPE 180</t>
  </si>
  <si>
    <t>IPE-AA 200</t>
  </si>
  <si>
    <t>IPE 200</t>
  </si>
  <si>
    <t>203x133x25</t>
  </si>
  <si>
    <t>203x133x30</t>
  </si>
  <si>
    <t>254x146x31</t>
  </si>
  <si>
    <t>254x146x37</t>
  </si>
  <si>
    <t>254x146x43</t>
  </si>
  <si>
    <t>305x102x25</t>
  </si>
  <si>
    <t>305x102x33</t>
  </si>
  <si>
    <t>305x165x46</t>
  </si>
  <si>
    <t>305x165x54</t>
  </si>
  <si>
    <t>356x171x45</t>
  </si>
  <si>
    <t>356x171x51</t>
  </si>
  <si>
    <t>356x171x57</t>
  </si>
  <si>
    <t>356x171x67</t>
  </si>
  <si>
    <t>406x140x39</t>
  </si>
  <si>
    <t>406x140x46</t>
  </si>
  <si>
    <t>457x191x67</t>
  </si>
  <si>
    <t>457x191x82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</si>
</sst>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7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vertAlign val="subscript"/>
      <sz val="12"/>
      <name val="Arial"/>
      <family val="2"/>
    </font>
    <font>
      <b/>
      <sz val="12"/>
      <name val="Bookman"/>
      <family val="1"/>
    </font>
    <font>
      <sz val="14"/>
      <name val="Arial"/>
      <family val="2"/>
    </font>
    <font>
      <sz val="16"/>
      <name val="Arial"/>
      <family val="2"/>
    </font>
    <font>
      <b/>
      <sz val="12"/>
      <name val="Symbol"/>
      <family val="1"/>
      <charset val="2"/>
    </font>
    <font>
      <b/>
      <sz val="14"/>
      <name val="Bookman"/>
      <family val="1"/>
      <charset val="1"/>
    </font>
    <font>
      <b/>
      <i/>
      <vertAlign val="subscript"/>
      <sz val="12"/>
      <color indexed="8"/>
      <name val="Calibri"/>
      <family val="2"/>
    </font>
    <font>
      <b/>
      <i/>
      <sz val="12"/>
      <name val="Arial"/>
      <family val="2"/>
    </font>
    <font>
      <b/>
      <i/>
      <sz val="12"/>
      <name val="Bookman"/>
      <family val="1"/>
    </font>
    <font>
      <b/>
      <i/>
      <vertAlign val="subscript"/>
      <sz val="12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sz val="9"/>
      <color theme="1"/>
      <name val="Arial"/>
      <family val="2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4">
    <xf numFmtId="0" fontId="0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8" fillId="0" borderId="0"/>
    <xf numFmtId="0" fontId="28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2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0" xfId="0" applyFont="1"/>
    <xf numFmtId="164" fontId="7" fillId="0" borderId="0" xfId="20" applyNumberFormat="1" applyFont="1" applyAlignment="1">
      <alignment horizontal="center"/>
    </xf>
    <xf numFmtId="165" fontId="7" fillId="0" borderId="0" xfId="20" applyNumberFormat="1" applyFont="1" applyAlignment="1">
      <alignment horizontal="center"/>
    </xf>
    <xf numFmtId="2" fontId="7" fillId="0" borderId="0" xfId="20" applyNumberFormat="1" applyFont="1" applyAlignment="1">
      <alignment horizontal="center"/>
    </xf>
    <xf numFmtId="2" fontId="6" fillId="0" borderId="2" xfId="0" applyNumberFormat="1" applyFont="1" applyBorder="1" applyAlignment="1">
      <alignment horizontal="center"/>
    </xf>
    <xf numFmtId="165" fontId="6" fillId="0" borderId="0" xfId="20" applyNumberFormat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" fontId="6" fillId="0" borderId="1" xfId="54" applyNumberFormat="1" applyBorder="1" applyAlignment="1">
      <alignment horizontal="center"/>
    </xf>
    <xf numFmtId="164" fontId="6" fillId="0" borderId="1" xfId="54" applyNumberFormat="1" applyBorder="1" applyAlignment="1">
      <alignment horizontal="center"/>
    </xf>
    <xf numFmtId="165" fontId="6" fillId="0" borderId="1" xfId="54" applyNumberFormat="1" applyBorder="1" applyAlignment="1">
      <alignment horizontal="center"/>
    </xf>
    <xf numFmtId="2" fontId="6" fillId="0" borderId="1" xfId="56" applyNumberFormat="1" applyBorder="1" applyAlignment="1">
      <alignment horizontal="center"/>
    </xf>
    <xf numFmtId="164" fontId="6" fillId="0" borderId="1" xfId="56" applyNumberFormat="1" applyBorder="1" applyAlignment="1">
      <alignment horizontal="center"/>
    </xf>
    <xf numFmtId="165" fontId="6" fillId="0" borderId="1" xfId="56" applyNumberFormat="1" applyBorder="1" applyAlignment="1">
      <alignment horizontal="center"/>
    </xf>
    <xf numFmtId="2" fontId="6" fillId="0" borderId="1" xfId="60" applyNumberFormat="1" applyBorder="1" applyAlignment="1">
      <alignment horizontal="center"/>
    </xf>
    <xf numFmtId="164" fontId="6" fillId="0" borderId="1" xfId="60" applyNumberFormat="1" applyBorder="1" applyAlignment="1">
      <alignment horizontal="center"/>
    </xf>
    <xf numFmtId="165" fontId="6" fillId="0" borderId="1" xfId="60" applyNumberFormat="1" applyBorder="1" applyAlignment="1">
      <alignment horizontal="center"/>
    </xf>
    <xf numFmtId="2" fontId="6" fillId="0" borderId="1" xfId="1" applyNumberFormat="1" applyBorder="1" applyAlignment="1">
      <alignment horizontal="center"/>
    </xf>
    <xf numFmtId="165" fontId="6" fillId="0" borderId="1" xfId="1" applyNumberFormat="1" applyBorder="1" applyAlignment="1">
      <alignment horizontal="center"/>
    </xf>
    <xf numFmtId="2" fontId="6" fillId="0" borderId="1" xfId="3" applyNumberFormat="1" applyBorder="1" applyAlignment="1">
      <alignment horizontal="center"/>
    </xf>
    <xf numFmtId="165" fontId="6" fillId="0" borderId="1" xfId="3" applyNumberFormat="1" applyBorder="1" applyAlignment="1">
      <alignment horizontal="center"/>
    </xf>
    <xf numFmtId="2" fontId="6" fillId="0" borderId="1" xfId="5" applyNumberFormat="1" applyBorder="1" applyAlignment="1">
      <alignment horizontal="center"/>
    </xf>
    <xf numFmtId="165" fontId="6" fillId="0" borderId="1" xfId="5" applyNumberFormat="1" applyBorder="1" applyAlignment="1">
      <alignment horizontal="center"/>
    </xf>
    <xf numFmtId="2" fontId="6" fillId="0" borderId="1" xfId="7" applyNumberFormat="1" applyBorder="1" applyAlignment="1">
      <alignment horizontal="center"/>
    </xf>
    <xf numFmtId="165" fontId="6" fillId="0" borderId="1" xfId="7" applyNumberFormat="1" applyBorder="1" applyAlignment="1">
      <alignment horizontal="center"/>
    </xf>
    <xf numFmtId="2" fontId="6" fillId="0" borderId="1" xfId="9" applyNumberFormat="1" applyBorder="1" applyAlignment="1">
      <alignment horizontal="center"/>
    </xf>
    <xf numFmtId="165" fontId="6" fillId="0" borderId="1" xfId="9" applyNumberFormat="1" applyBorder="1" applyAlignment="1">
      <alignment horizontal="center"/>
    </xf>
    <xf numFmtId="2" fontId="6" fillId="0" borderId="1" xfId="11" applyNumberFormat="1" applyBorder="1" applyAlignment="1">
      <alignment horizontal="center"/>
    </xf>
    <xf numFmtId="165" fontId="6" fillId="0" borderId="1" xfId="11" applyNumberFormat="1" applyBorder="1" applyAlignment="1">
      <alignment horizontal="center"/>
    </xf>
    <xf numFmtId="2" fontId="6" fillId="0" borderId="1" xfId="20" applyNumberFormat="1" applyBorder="1" applyAlignment="1">
      <alignment horizontal="center"/>
    </xf>
    <xf numFmtId="165" fontId="6" fillId="0" borderId="1" xfId="20" applyNumberFormat="1" applyBorder="1" applyAlignment="1">
      <alignment horizontal="center"/>
    </xf>
    <xf numFmtId="2" fontId="6" fillId="0" borderId="1" xfId="22" applyNumberFormat="1" applyBorder="1" applyAlignment="1">
      <alignment horizontal="center"/>
    </xf>
    <xf numFmtId="164" fontId="6" fillId="0" borderId="1" xfId="22" applyNumberFormat="1" applyBorder="1" applyAlignment="1">
      <alignment horizontal="center"/>
    </xf>
    <xf numFmtId="165" fontId="6" fillId="0" borderId="1" xfId="22" applyNumberFormat="1" applyBorder="1" applyAlignment="1">
      <alignment horizontal="center"/>
    </xf>
    <xf numFmtId="2" fontId="6" fillId="0" borderId="1" xfId="26" applyNumberFormat="1" applyBorder="1" applyAlignment="1">
      <alignment horizontal="center"/>
    </xf>
    <xf numFmtId="164" fontId="6" fillId="0" borderId="1" xfId="26" applyNumberFormat="1" applyBorder="1" applyAlignment="1">
      <alignment horizontal="center"/>
    </xf>
    <xf numFmtId="165" fontId="6" fillId="0" borderId="1" xfId="26" applyNumberFormat="1" applyBorder="1" applyAlignment="1">
      <alignment horizontal="center"/>
    </xf>
    <xf numFmtId="2" fontId="6" fillId="0" borderId="1" xfId="28" applyNumberFormat="1" applyBorder="1" applyAlignment="1">
      <alignment horizontal="center"/>
    </xf>
    <xf numFmtId="164" fontId="6" fillId="0" borderId="1" xfId="28" applyNumberFormat="1" applyBorder="1" applyAlignment="1">
      <alignment horizontal="center"/>
    </xf>
    <xf numFmtId="165" fontId="6" fillId="0" borderId="1" xfId="28" applyNumberFormat="1" applyBorder="1" applyAlignment="1">
      <alignment horizontal="center"/>
    </xf>
    <xf numFmtId="2" fontId="6" fillId="0" borderId="1" xfId="30" applyNumberFormat="1" applyBorder="1" applyAlignment="1">
      <alignment horizontal="center"/>
    </xf>
    <xf numFmtId="164" fontId="6" fillId="0" borderId="1" xfId="30" applyNumberFormat="1" applyBorder="1" applyAlignment="1">
      <alignment horizontal="center"/>
    </xf>
    <xf numFmtId="165" fontId="6" fillId="0" borderId="1" xfId="30" applyNumberFormat="1" applyBorder="1" applyAlignment="1">
      <alignment horizontal="center"/>
    </xf>
    <xf numFmtId="2" fontId="6" fillId="0" borderId="1" xfId="36" applyNumberFormat="1" applyBorder="1" applyAlignment="1">
      <alignment horizontal="center"/>
    </xf>
    <xf numFmtId="164" fontId="6" fillId="0" borderId="1" xfId="36" applyNumberFormat="1" applyBorder="1" applyAlignment="1">
      <alignment horizontal="center"/>
    </xf>
    <xf numFmtId="165" fontId="6" fillId="0" borderId="1" xfId="36" applyNumberFormat="1" applyBorder="1" applyAlignment="1">
      <alignment horizontal="center"/>
    </xf>
    <xf numFmtId="2" fontId="6" fillId="0" borderId="1" xfId="38" applyNumberFormat="1" applyBorder="1" applyAlignment="1">
      <alignment horizontal="center"/>
    </xf>
    <xf numFmtId="165" fontId="6" fillId="0" borderId="1" xfId="38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vertical="center" textRotation="90"/>
    </xf>
    <xf numFmtId="0" fontId="3" fillId="0" borderId="4" xfId="0" applyFont="1" applyBorder="1" applyAlignment="1">
      <alignment vertical="center" textRotation="90"/>
    </xf>
    <xf numFmtId="164" fontId="9" fillId="0" borderId="0" xfId="52" applyNumberFormat="1" applyFont="1" applyAlignment="1">
      <alignment horizontal="center"/>
    </xf>
    <xf numFmtId="165" fontId="9" fillId="0" borderId="0" xfId="52" applyNumberFormat="1" applyFont="1" applyAlignment="1">
      <alignment horizontal="center"/>
    </xf>
    <xf numFmtId="0" fontId="9" fillId="0" borderId="0" xfId="52" applyFont="1" applyAlignment="1">
      <alignment horizontal="center"/>
    </xf>
    <xf numFmtId="2" fontId="9" fillId="0" borderId="0" xfId="52" applyNumberFormat="1" applyFont="1" applyAlignment="1">
      <alignment horizontal="center"/>
    </xf>
    <xf numFmtId="164" fontId="9" fillId="2" borderId="0" xfId="52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6" fillId="0" borderId="1" xfId="2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5" applyNumberFormat="1" applyBorder="1" applyAlignment="1">
      <alignment horizontal="center"/>
    </xf>
    <xf numFmtId="1" fontId="6" fillId="0" borderId="1" xfId="7" applyNumberFormat="1" applyBorder="1" applyAlignment="1">
      <alignment horizontal="center"/>
    </xf>
    <xf numFmtId="1" fontId="6" fillId="0" borderId="1" xfId="9" applyNumberFormat="1" applyBorder="1" applyAlignment="1">
      <alignment horizontal="center"/>
    </xf>
    <xf numFmtId="1" fontId="6" fillId="0" borderId="1" xfId="11" applyNumberFormat="1" applyBorder="1" applyAlignment="1">
      <alignment horizontal="center"/>
    </xf>
    <xf numFmtId="1" fontId="6" fillId="0" borderId="1" xfId="3" applyNumberFormat="1" applyBorder="1" applyAlignment="1">
      <alignment horizontal="center"/>
    </xf>
    <xf numFmtId="1" fontId="6" fillId="0" borderId="1" xfId="36" applyNumberFormat="1" applyBorder="1" applyAlignment="1">
      <alignment horizontal="center"/>
    </xf>
    <xf numFmtId="1" fontId="6" fillId="0" borderId="1" xfId="38" applyNumberForma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4" fillId="0" borderId="0" xfId="0" applyFont="1" applyAlignment="1">
      <alignment vertical="center" textRotation="90"/>
    </xf>
    <xf numFmtId="0" fontId="4" fillId="0" borderId="1" xfId="0" applyFont="1" applyBorder="1" applyAlignment="1">
      <alignment horizontal="center"/>
    </xf>
    <xf numFmtId="0" fontId="12" fillId="0" borderId="0" xfId="0" applyFont="1" applyAlignment="1">
      <alignment vertical="center" textRotation="90"/>
    </xf>
    <xf numFmtId="0" fontId="18" fillId="0" borderId="0" xfId="0" applyFont="1"/>
    <xf numFmtId="0" fontId="0" fillId="0" borderId="1" xfId="0" applyBorder="1"/>
    <xf numFmtId="0" fontId="14" fillId="0" borderId="0" xfId="0" applyFont="1"/>
    <xf numFmtId="0" fontId="19" fillId="0" borderId="0" xfId="0" applyFont="1"/>
    <xf numFmtId="164" fontId="0" fillId="0" borderId="3" xfId="0" applyNumberFormat="1" applyBorder="1" applyAlignment="1">
      <alignment horizontal="center"/>
    </xf>
    <xf numFmtId="0" fontId="12" fillId="0" borderId="0" xfId="0" applyFont="1" applyAlignment="1">
      <alignment horizontal="center" vertical="center" textRotation="90"/>
    </xf>
    <xf numFmtId="0" fontId="8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30" fillId="0" borderId="0" xfId="0" applyFont="1"/>
    <xf numFmtId="2" fontId="10" fillId="0" borderId="0" xfId="0" applyNumberFormat="1" applyFont="1"/>
    <xf numFmtId="165" fontId="10" fillId="0" borderId="0" xfId="0" applyNumberFormat="1" applyFont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 wrapText="1"/>
    </xf>
    <xf numFmtId="2" fontId="3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9" fontId="0" fillId="0" borderId="0" xfId="6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 textRotation="90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textRotation="90"/>
    </xf>
    <xf numFmtId="0" fontId="15" fillId="0" borderId="2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0" fontId="0" fillId="0" borderId="0" xfId="62" applyNumberFormat="1" applyFont="1" applyFill="1"/>
    <xf numFmtId="0" fontId="6" fillId="0" borderId="6" xfId="0" applyFont="1" applyBorder="1" applyAlignment="1">
      <alignment horizontal="center"/>
    </xf>
    <xf numFmtId="164" fontId="6" fillId="0" borderId="6" xfId="54" applyNumberFormat="1" applyBorder="1" applyAlignment="1">
      <alignment horizontal="center"/>
    </xf>
    <xf numFmtId="164" fontId="6" fillId="0" borderId="6" xfId="56" applyNumberFormat="1" applyBorder="1" applyAlignment="1">
      <alignment horizontal="center"/>
    </xf>
    <xf numFmtId="2" fontId="6" fillId="0" borderId="6" xfId="56" applyNumberForma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0" borderId="6" xfId="60" applyNumberFormat="1" applyBorder="1" applyAlignment="1">
      <alignment horizontal="center"/>
    </xf>
    <xf numFmtId="2" fontId="6" fillId="0" borderId="6" xfId="1" applyNumberFormat="1" applyBorder="1" applyAlignment="1">
      <alignment horizontal="center"/>
    </xf>
    <xf numFmtId="2" fontId="6" fillId="0" borderId="6" xfId="3" applyNumberForma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5" fontId="6" fillId="0" borderId="6" xfId="5" applyNumberFormat="1" applyBorder="1" applyAlignment="1">
      <alignment horizontal="center"/>
    </xf>
    <xf numFmtId="165" fontId="6" fillId="0" borderId="6" xfId="7" applyNumberFormat="1" applyBorder="1" applyAlignment="1">
      <alignment horizontal="center"/>
    </xf>
    <xf numFmtId="165" fontId="6" fillId="0" borderId="6" xfId="9" applyNumberFormat="1" applyBorder="1" applyAlignment="1">
      <alignment horizontal="center"/>
    </xf>
    <xf numFmtId="165" fontId="6" fillId="0" borderId="6" xfId="11" applyNumberFormat="1" applyBorder="1" applyAlignment="1">
      <alignment horizontal="center"/>
    </xf>
    <xf numFmtId="1" fontId="6" fillId="0" borderId="6" xfId="20" applyNumberFormat="1" applyBorder="1" applyAlignment="1">
      <alignment horizontal="center"/>
    </xf>
    <xf numFmtId="10" fontId="0" fillId="0" borderId="0" xfId="62" applyNumberFormat="1" applyFont="1" applyFill="1" applyBorder="1"/>
    <xf numFmtId="166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3" fillId="0" borderId="7" xfId="0" applyFont="1" applyBorder="1" applyAlignment="1">
      <alignment vertical="center" textRotation="90"/>
    </xf>
    <xf numFmtId="164" fontId="0" fillId="0" borderId="6" xfId="0" applyNumberForma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2" fontId="6" fillId="0" borderId="1" xfId="24" applyNumberFormat="1" applyBorder="1" applyAlignment="1">
      <alignment horizontal="center"/>
    </xf>
    <xf numFmtId="164" fontId="6" fillId="0" borderId="1" xfId="24" applyNumberFormat="1" applyBorder="1" applyAlignment="1">
      <alignment horizontal="center"/>
    </xf>
    <xf numFmtId="165" fontId="6" fillId="0" borderId="1" xfId="24" applyNumberFormat="1" applyBorder="1" applyAlignment="1">
      <alignment horizontal="center"/>
    </xf>
    <xf numFmtId="164" fontId="6" fillId="0" borderId="6" xfId="24" applyNumberFormat="1" applyBorder="1" applyAlignment="1">
      <alignment horizontal="center"/>
    </xf>
    <xf numFmtId="0" fontId="0" fillId="0" borderId="4" xfId="0" applyBorder="1" applyAlignment="1">
      <alignment vertical="center" textRotation="90"/>
    </xf>
    <xf numFmtId="165" fontId="6" fillId="0" borderId="1" xfId="13" applyNumberFormat="1" applyBorder="1" applyAlignment="1">
      <alignment horizontal="center"/>
    </xf>
    <xf numFmtId="2" fontId="6" fillId="0" borderId="1" xfId="13" applyNumberFormat="1" applyBorder="1" applyAlignment="1">
      <alignment horizontal="center"/>
    </xf>
    <xf numFmtId="1" fontId="6" fillId="0" borderId="1" xfId="13" applyNumberFormat="1" applyBorder="1" applyAlignment="1">
      <alignment horizontal="center"/>
    </xf>
    <xf numFmtId="165" fontId="6" fillId="0" borderId="6" xfId="13" applyNumberFormat="1" applyBorder="1" applyAlignment="1">
      <alignment horizontal="center"/>
    </xf>
    <xf numFmtId="165" fontId="6" fillId="0" borderId="1" xfId="15" applyNumberFormat="1" applyBorder="1" applyAlignment="1">
      <alignment horizontal="center"/>
    </xf>
    <xf numFmtId="2" fontId="6" fillId="0" borderId="1" xfId="15" applyNumberFormat="1" applyBorder="1" applyAlignment="1">
      <alignment horizontal="center"/>
    </xf>
    <xf numFmtId="1" fontId="6" fillId="0" borderId="1" xfId="15" applyNumberFormat="1" applyBorder="1" applyAlignment="1">
      <alignment horizontal="center"/>
    </xf>
    <xf numFmtId="165" fontId="6" fillId="0" borderId="6" xfId="15" applyNumberFormat="1" applyBorder="1" applyAlignment="1">
      <alignment horizontal="center"/>
    </xf>
    <xf numFmtId="165" fontId="6" fillId="0" borderId="1" xfId="18" applyNumberFormat="1" applyBorder="1" applyAlignment="1">
      <alignment horizontal="center"/>
    </xf>
    <xf numFmtId="2" fontId="6" fillId="0" borderId="1" xfId="18" applyNumberFormat="1" applyBorder="1" applyAlignment="1">
      <alignment horizontal="center"/>
    </xf>
    <xf numFmtId="1" fontId="6" fillId="0" borderId="1" xfId="18" applyNumberFormat="1" applyBorder="1" applyAlignment="1">
      <alignment horizontal="center"/>
    </xf>
    <xf numFmtId="165" fontId="6" fillId="0" borderId="6" xfId="18" applyNumberFormat="1" applyBorder="1" applyAlignment="1">
      <alignment horizontal="center"/>
    </xf>
    <xf numFmtId="1" fontId="6" fillId="0" borderId="6" xfId="18" applyNumberForma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6" fillId="0" borderId="0" xfId="20" applyNumberFormat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1" fillId="0" borderId="0" xfId="26" applyNumberFormat="1" applyFont="1" applyAlignment="1">
      <alignment horizontal="center"/>
    </xf>
    <xf numFmtId="165" fontId="1" fillId="0" borderId="0" xfId="26" applyNumberFormat="1" applyFont="1" applyAlignment="1">
      <alignment horizontal="center"/>
    </xf>
    <xf numFmtId="2" fontId="1" fillId="0" borderId="0" xfId="28" applyNumberFormat="1" applyFont="1" applyAlignment="1">
      <alignment horizontal="center"/>
    </xf>
    <xf numFmtId="165" fontId="1" fillId="0" borderId="0" xfId="28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30" applyNumberFormat="1" applyFont="1" applyAlignment="1">
      <alignment horizontal="center"/>
    </xf>
    <xf numFmtId="2" fontId="1" fillId="0" borderId="0" xfId="30" applyNumberFormat="1" applyFont="1" applyAlignment="1">
      <alignment horizontal="center"/>
    </xf>
    <xf numFmtId="2" fontId="1" fillId="0" borderId="0" xfId="32" applyNumberFormat="1" applyFont="1" applyAlignment="1">
      <alignment horizontal="center"/>
    </xf>
    <xf numFmtId="2" fontId="1" fillId="0" borderId="0" xfId="34" applyNumberFormat="1" applyFont="1" applyAlignment="1">
      <alignment horizontal="center"/>
    </xf>
    <xf numFmtId="165" fontId="31" fillId="0" borderId="0" xfId="0" applyNumberFormat="1" applyFont="1" applyAlignment="1">
      <alignment horizontal="center"/>
    </xf>
    <xf numFmtId="2" fontId="1" fillId="0" borderId="0" xfId="36" applyNumberFormat="1" applyFont="1" applyAlignment="1">
      <alignment horizontal="center"/>
    </xf>
    <xf numFmtId="165" fontId="1" fillId="0" borderId="0" xfId="36" applyNumberFormat="1" applyFont="1" applyAlignment="1">
      <alignment horizontal="center"/>
    </xf>
    <xf numFmtId="2" fontId="1" fillId="0" borderId="0" xfId="38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4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42" applyNumberFormat="1" applyFont="1" applyAlignment="1">
      <alignment horizontal="center"/>
    </xf>
    <xf numFmtId="2" fontId="1" fillId="0" borderId="0" xfId="44" applyNumberFormat="1" applyFont="1" applyAlignment="1">
      <alignment horizontal="center"/>
    </xf>
    <xf numFmtId="2" fontId="1" fillId="0" borderId="0" xfId="48" applyNumberFormat="1" applyFont="1" applyAlignment="1">
      <alignment horizontal="center"/>
    </xf>
    <xf numFmtId="1" fontId="1" fillId="0" borderId="0" xfId="50" applyNumberFormat="1" applyFont="1" applyAlignment="1">
      <alignment horizontal="center"/>
    </xf>
    <xf numFmtId="10" fontId="0" fillId="0" borderId="0" xfId="62" applyNumberFormat="1" applyFont="1" applyAlignment="1">
      <alignment horizontal="center"/>
    </xf>
    <xf numFmtId="165" fontId="6" fillId="0" borderId="1" xfId="40" applyNumberFormat="1" applyBorder="1" applyAlignment="1">
      <alignment horizontal="center"/>
    </xf>
    <xf numFmtId="2" fontId="6" fillId="0" borderId="1" xfId="40" applyNumberFormat="1" applyBorder="1" applyAlignment="1">
      <alignment horizontal="center"/>
    </xf>
    <xf numFmtId="1" fontId="6" fillId="0" borderId="1" xfId="40" applyNumberFormat="1" applyBorder="1" applyAlignment="1">
      <alignment horizontal="center"/>
    </xf>
    <xf numFmtId="165" fontId="6" fillId="0" borderId="1" xfId="42" applyNumberFormat="1" applyBorder="1" applyAlignment="1">
      <alignment horizontal="center"/>
    </xf>
    <xf numFmtId="2" fontId="6" fillId="0" borderId="1" xfId="42" applyNumberFormat="1" applyBorder="1" applyAlignment="1">
      <alignment horizontal="center"/>
    </xf>
    <xf numFmtId="1" fontId="6" fillId="0" borderId="1" xfId="42" applyNumberFormat="1" applyBorder="1" applyAlignment="1">
      <alignment horizontal="center"/>
    </xf>
    <xf numFmtId="165" fontId="6" fillId="0" borderId="1" xfId="46" applyNumberFormat="1" applyBorder="1" applyAlignment="1">
      <alignment horizontal="center"/>
    </xf>
    <xf numFmtId="2" fontId="6" fillId="0" borderId="1" xfId="44" applyNumberFormat="1" applyBorder="1" applyAlignment="1">
      <alignment horizontal="center"/>
    </xf>
    <xf numFmtId="165" fontId="6" fillId="0" borderId="1" xfId="44" applyNumberFormat="1" applyBorder="1" applyAlignment="1">
      <alignment horizontal="center"/>
    </xf>
    <xf numFmtId="1" fontId="6" fillId="0" borderId="1" xfId="44" applyNumberFormat="1" applyBorder="1" applyAlignment="1">
      <alignment horizontal="center"/>
    </xf>
    <xf numFmtId="165" fontId="6" fillId="0" borderId="1" xfId="48" applyNumberFormat="1" applyBorder="1" applyAlignment="1">
      <alignment horizontal="center"/>
    </xf>
    <xf numFmtId="2" fontId="6" fillId="0" borderId="1" xfId="48" applyNumberFormat="1" applyBorder="1" applyAlignment="1">
      <alignment horizontal="center"/>
    </xf>
    <xf numFmtId="1" fontId="6" fillId="0" borderId="1" xfId="48" applyNumberFormat="1" applyBorder="1" applyAlignment="1">
      <alignment horizontal="center"/>
    </xf>
    <xf numFmtId="165" fontId="6" fillId="0" borderId="1" xfId="50" applyNumberFormat="1" applyBorder="1" applyAlignment="1">
      <alignment horizontal="center"/>
    </xf>
    <xf numFmtId="2" fontId="6" fillId="0" borderId="1" xfId="50" applyNumberFormat="1" applyBorder="1" applyAlignment="1">
      <alignment horizontal="center"/>
    </xf>
    <xf numFmtId="1" fontId="6" fillId="0" borderId="1" xfId="50" applyNumberFormat="1" applyBorder="1" applyAlignment="1">
      <alignment horizontal="center"/>
    </xf>
    <xf numFmtId="165" fontId="6" fillId="0" borderId="0" xfId="50" applyNumberFormat="1" applyAlignment="1">
      <alignment horizontal="center"/>
    </xf>
    <xf numFmtId="2" fontId="6" fillId="0" borderId="0" xfId="50" applyNumberFormat="1" applyAlignment="1">
      <alignment horizontal="center"/>
    </xf>
    <xf numFmtId="1" fontId="6" fillId="0" borderId="0" xfId="50" applyNumberFormat="1" applyAlignment="1">
      <alignment horizontal="center"/>
    </xf>
    <xf numFmtId="2" fontId="6" fillId="0" borderId="1" xfId="32" applyNumberFormat="1" applyBorder="1" applyAlignment="1">
      <alignment horizontal="center"/>
    </xf>
    <xf numFmtId="165" fontId="6" fillId="0" borderId="1" xfId="32" applyNumberFormat="1" applyBorder="1" applyAlignment="1">
      <alignment horizontal="center"/>
    </xf>
    <xf numFmtId="164" fontId="6" fillId="0" borderId="1" xfId="32" applyNumberFormat="1" applyBorder="1" applyAlignment="1">
      <alignment horizontal="center"/>
    </xf>
    <xf numFmtId="2" fontId="6" fillId="0" borderId="1" xfId="34" applyNumberFormat="1" applyBorder="1" applyAlignment="1">
      <alignment horizontal="center"/>
    </xf>
    <xf numFmtId="165" fontId="6" fillId="0" borderId="1" xfId="34" applyNumberFormat="1" applyBorder="1" applyAlignment="1">
      <alignment horizontal="center"/>
    </xf>
    <xf numFmtId="164" fontId="6" fillId="0" borderId="1" xfId="34" applyNumberFormat="1" applyBorder="1" applyAlignment="1">
      <alignment horizontal="center"/>
    </xf>
    <xf numFmtId="2" fontId="32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1" fontId="31" fillId="0" borderId="0" xfId="0" applyNumberFormat="1" applyFont="1" applyAlignment="1">
      <alignment horizontal="center"/>
    </xf>
    <xf numFmtId="2" fontId="6" fillId="0" borderId="1" xfId="58" applyNumberFormat="1" applyBorder="1" applyAlignment="1">
      <alignment horizontal="center"/>
    </xf>
    <xf numFmtId="165" fontId="6" fillId="0" borderId="1" xfId="58" applyNumberFormat="1" applyBorder="1" applyAlignment="1">
      <alignment horizontal="center"/>
    </xf>
    <xf numFmtId="2" fontId="6" fillId="0" borderId="6" xfId="58" applyNumberFormat="1" applyBorder="1" applyAlignment="1">
      <alignment horizontal="center"/>
    </xf>
    <xf numFmtId="165" fontId="33" fillId="0" borderId="1" xfId="37" applyNumberFormat="1" applyFont="1" applyBorder="1" applyAlignment="1">
      <alignment horizontal="center"/>
    </xf>
    <xf numFmtId="0" fontId="34" fillId="0" borderId="1" xfId="2" applyFont="1" applyBorder="1" applyAlignment="1">
      <alignment horizontal="center"/>
    </xf>
    <xf numFmtId="165" fontId="33" fillId="0" borderId="1" xfId="2" applyNumberFormat="1" applyFont="1" applyBorder="1" applyAlignment="1">
      <alignment horizontal="center"/>
    </xf>
    <xf numFmtId="2" fontId="33" fillId="0" borderId="1" xfId="29" applyNumberFormat="1" applyFont="1" applyBorder="1" applyAlignment="1">
      <alignment horizontal="center"/>
    </xf>
    <xf numFmtId="165" fontId="33" fillId="0" borderId="1" xfId="27" applyNumberFormat="1" applyFont="1" applyBorder="1" applyAlignment="1">
      <alignment horizontal="center"/>
    </xf>
    <xf numFmtId="2" fontId="33" fillId="0" borderId="1" xfId="27" applyNumberFormat="1" applyFont="1" applyBorder="1" applyAlignment="1">
      <alignment horizontal="center"/>
    </xf>
    <xf numFmtId="0" fontId="33" fillId="0" borderId="1" xfId="2" applyFont="1" applyBorder="1" applyAlignment="1">
      <alignment horizontal="center"/>
    </xf>
    <xf numFmtId="2" fontId="35" fillId="0" borderId="1" xfId="2" applyNumberFormat="1" applyFont="1" applyBorder="1" applyAlignment="1">
      <alignment horizontal="center"/>
    </xf>
    <xf numFmtId="1" fontId="33" fillId="0" borderId="1" xfId="2" applyNumberFormat="1" applyFont="1" applyBorder="1" applyAlignment="1">
      <alignment horizontal="center"/>
    </xf>
    <xf numFmtId="1" fontId="33" fillId="0" borderId="1" xfId="51" applyNumberFormat="1" applyFont="1" applyBorder="1" applyAlignment="1">
      <alignment horizontal="center"/>
    </xf>
    <xf numFmtId="165" fontId="33" fillId="0" borderId="1" xfId="29" applyNumberFormat="1" applyFont="1" applyBorder="1" applyAlignment="1">
      <alignment horizontal="center"/>
    </xf>
    <xf numFmtId="165" fontId="33" fillId="0" borderId="1" xfId="31" applyNumberFormat="1" applyFont="1" applyBorder="1" applyAlignment="1">
      <alignment horizontal="center"/>
    </xf>
    <xf numFmtId="165" fontId="33" fillId="0" borderId="1" xfId="33" applyNumberFormat="1" applyFont="1" applyBorder="1" applyAlignment="1">
      <alignment horizontal="center"/>
    </xf>
    <xf numFmtId="165" fontId="33" fillId="0" borderId="1" xfId="35" applyNumberFormat="1" applyFont="1" applyBorder="1" applyAlignment="1">
      <alignment horizontal="center"/>
    </xf>
    <xf numFmtId="165" fontId="33" fillId="0" borderId="1" xfId="39" applyNumberFormat="1" applyFont="1" applyBorder="1" applyAlignment="1">
      <alignment horizontal="center"/>
    </xf>
    <xf numFmtId="1" fontId="33" fillId="0" borderId="1" xfId="39" applyNumberFormat="1" applyFont="1" applyBorder="1" applyAlignment="1">
      <alignment horizontal="center"/>
    </xf>
    <xf numFmtId="1" fontId="33" fillId="0" borderId="1" xfId="41" applyNumberFormat="1" applyFont="1" applyBorder="1" applyAlignment="1">
      <alignment horizontal="center"/>
    </xf>
    <xf numFmtId="1" fontId="33" fillId="0" borderId="1" xfId="43" applyNumberFormat="1" applyFont="1" applyBorder="1" applyAlignment="1">
      <alignment horizontal="center"/>
    </xf>
    <xf numFmtId="1" fontId="33" fillId="0" borderId="1" xfId="45" applyNumberFormat="1" applyFont="1" applyBorder="1" applyAlignment="1">
      <alignment horizontal="center"/>
    </xf>
    <xf numFmtId="1" fontId="33" fillId="0" borderId="1" xfId="49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1" fontId="0" fillId="0" borderId="0" xfId="62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4" fontId="9" fillId="0" borderId="0" xfId="52" applyNumberFormat="1" applyFont="1" applyAlignment="1">
      <alignment horizontal="center"/>
    </xf>
    <xf numFmtId="0" fontId="28" fillId="0" borderId="0" xfId="52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64">
    <cellStyle name="Normal" xfId="0" builtinId="0"/>
    <cellStyle name="Normal 10" xfId="1" xr:uid="{BC1624E6-5EB1-4E42-A844-660C918C1DEF}"/>
    <cellStyle name="Normal 10 2" xfId="2" xr:uid="{A8210250-F565-457F-8B6F-3B173CA5BCE2}"/>
    <cellStyle name="Normal 11" xfId="3" xr:uid="{81549B03-2DE7-4977-8F97-6E7072855295}"/>
    <cellStyle name="Normal 11 2" xfId="4" xr:uid="{E9CE7C7F-37D7-4C93-8E3D-6F0B88BCF053}"/>
    <cellStyle name="Normal 14" xfId="5" xr:uid="{8B595B4A-DACA-4726-B11B-1AAFDCEFC71B}"/>
    <cellStyle name="Normal 14 2" xfId="6" xr:uid="{6517D27F-A4D0-4BA0-AEBC-EE87AB109AD1}"/>
    <cellStyle name="Normal 15" xfId="7" xr:uid="{168DCCEE-ED64-437A-9950-5FB0CEC36F11}"/>
    <cellStyle name="Normal 15 2" xfId="8" xr:uid="{5CC98377-884A-431B-A0B5-970CCA5CB707}"/>
    <cellStyle name="Normal 16" xfId="9" xr:uid="{84944215-4C13-48FA-9C17-FD8A315EB626}"/>
    <cellStyle name="Normal 16 2" xfId="10" xr:uid="{1E7F3A8C-2594-4E1F-BD46-56B69CE74B9E}"/>
    <cellStyle name="Normal 17" xfId="11" xr:uid="{7BF30D25-11CA-4E49-8D71-430008F88143}"/>
    <cellStyle name="Normal 17 2" xfId="12" xr:uid="{25F1DADA-8C41-4646-88AA-20DF32835B57}"/>
    <cellStyle name="Normal 18" xfId="13" xr:uid="{471369F0-AB07-4C08-9A83-A6F0D18492BC}"/>
    <cellStyle name="Normal 18 2" xfId="14" xr:uid="{F8915E0F-9340-4F12-A3CA-7658113083B7}"/>
    <cellStyle name="Normal 19" xfId="15" xr:uid="{E9A493BA-678C-4E90-B778-6FD4307796BA}"/>
    <cellStyle name="Normal 19 2" xfId="16" xr:uid="{13D064AA-A159-4040-A45C-C773249F6463}"/>
    <cellStyle name="Normal 2" xfId="17" xr:uid="{9424561F-1F2F-4241-8C9D-A270B2EF25B0}"/>
    <cellStyle name="Normal 22" xfId="18" xr:uid="{78693245-6F37-4A45-8CC5-2B657254A7EE}"/>
    <cellStyle name="Normal 22 2" xfId="19" xr:uid="{3961E7DC-C0F0-45D3-B432-EFBD9FA50D87}"/>
    <cellStyle name="Normal 23" xfId="20" xr:uid="{A907A2F2-347C-4795-85F2-218CC35039CB}"/>
    <cellStyle name="Normal 23 2" xfId="21" xr:uid="{082A1F01-7903-4AEA-A6F2-D9FDE0EB8EAD}"/>
    <cellStyle name="Normal 29" xfId="22" xr:uid="{C482DFA2-1700-46A3-85FE-547C433F2AB2}"/>
    <cellStyle name="Normal 29 2" xfId="23" xr:uid="{CB1C567A-8A10-44C9-B0C9-0EA6FDEB8FB9}"/>
    <cellStyle name="Normal 3" xfId="24" xr:uid="{3C3774F8-AA32-40F5-AE85-9B6A6AC1BE32}"/>
    <cellStyle name="Normal 3 2" xfId="25" xr:uid="{27703A10-BFBE-4146-813C-0A5C11BB4B95}"/>
    <cellStyle name="Normal 30" xfId="26" xr:uid="{861FAC3E-DF34-464A-994B-3D51C35663B0}"/>
    <cellStyle name="Normal 30 2" xfId="27" xr:uid="{BC605C66-568B-468D-A82C-F3922F919E93}"/>
    <cellStyle name="Normal 31" xfId="28" xr:uid="{213DEB97-F50F-48FD-8C58-70FD76117A90}"/>
    <cellStyle name="Normal 31 2" xfId="29" xr:uid="{96A974C2-D4A9-4BEA-80E5-C844C90E63D9}"/>
    <cellStyle name="Normal 32" xfId="30" xr:uid="{E572B97E-FD92-4978-8B3B-F15A0E0402B6}"/>
    <cellStyle name="Normal 32 2" xfId="31" xr:uid="{D173FEFA-3C2D-4BD8-BDA6-5682EA42EEBA}"/>
    <cellStyle name="Normal 33" xfId="32" xr:uid="{6BA46DC8-71F1-4266-925D-BBF8F6F68CC8}"/>
    <cellStyle name="Normal 33 2" xfId="33" xr:uid="{9D8D02D3-3B0B-4B6A-BE1A-6991D97097B2}"/>
    <cellStyle name="Normal 34" xfId="34" xr:uid="{B1C6B536-F42F-4320-821D-B8B8AE355028}"/>
    <cellStyle name="Normal 34 2" xfId="35" xr:uid="{16B2B032-6956-4841-8E69-1A0196F19C9B}"/>
    <cellStyle name="Normal 35" xfId="36" xr:uid="{32B50B62-01BA-489D-A0E3-2BE21510E828}"/>
    <cellStyle name="Normal 35 2" xfId="37" xr:uid="{478FEF22-EE4C-49E5-971E-7B2B8DCC1131}"/>
    <cellStyle name="Normal 36" xfId="38" xr:uid="{449D8D34-08D6-4C76-B8D0-AFF8352FF9AB}"/>
    <cellStyle name="Normal 36 2" xfId="39" xr:uid="{798E1510-03FE-48C9-BB8C-8795E058FCB3}"/>
    <cellStyle name="Normal 37" xfId="40" xr:uid="{B2776903-C421-41A4-A406-25FFDB2FB59C}"/>
    <cellStyle name="Normal 37 2" xfId="41" xr:uid="{5DDAE765-6803-47ED-818F-EB919A86F8CF}"/>
    <cellStyle name="Normal 38" xfId="42" xr:uid="{F820220E-CD19-409F-A1C8-D9D75444A7F1}"/>
    <cellStyle name="Normal 38 2" xfId="43" xr:uid="{B60FD4DD-5AA6-4DC4-8A04-0BC26D439B5D}"/>
    <cellStyle name="Normal 39" xfId="44" xr:uid="{5B5261B5-0712-4957-A1A8-3C621A2125AA}"/>
    <cellStyle name="Normal 39 2" xfId="45" xr:uid="{E671AAC7-4AEB-4808-B0C4-BF308B803951}"/>
    <cellStyle name="Normal 40" xfId="46" xr:uid="{21B2D5F7-640D-4797-87B9-B004359D51AF}"/>
    <cellStyle name="Normal 40 2" xfId="47" xr:uid="{79777364-D4BF-4F17-96F1-E05904E3E223}"/>
    <cellStyle name="Normal 41" xfId="48" xr:uid="{ABB51BFA-F918-4DA3-B192-219B359C9D6B}"/>
    <cellStyle name="Normal 41 2" xfId="49" xr:uid="{BD814810-2F7B-4C49-999D-5F1594DD83CF}"/>
    <cellStyle name="Normal 42" xfId="50" xr:uid="{ADA3B281-81CA-4572-B81D-C44D9E65B17A}"/>
    <cellStyle name="Normal 42 2" xfId="51" xr:uid="{5F209DAF-32C7-4869-B946-C3E39EC97C80}"/>
    <cellStyle name="Normal 43" xfId="52" xr:uid="{74C2DC54-E531-4619-9ECC-053A6E8B929F}"/>
    <cellStyle name="Normal 43 2" xfId="53" xr:uid="{F87F2DB4-43A1-4A99-B66B-4F3A4354DBC8}"/>
    <cellStyle name="Normal 6" xfId="54" xr:uid="{70AF5716-C684-4EC0-BD92-7088CBD0BB9F}"/>
    <cellStyle name="Normal 6 2" xfId="55" xr:uid="{07B09856-68A3-4454-B965-DCCC6BDF7238}"/>
    <cellStyle name="Normal 7" xfId="56" xr:uid="{30BC2608-3B83-48CB-83BC-0ABA43912BDF}"/>
    <cellStyle name="Normal 7 2" xfId="57" xr:uid="{F8FFD65C-33D9-4541-BF4F-02E6643C2B85}"/>
    <cellStyle name="Normal 8" xfId="58" xr:uid="{A16ED247-3A2E-4D48-BF45-DA1C59241754}"/>
    <cellStyle name="Normal 8 2" xfId="59" xr:uid="{5A4F0A82-C195-40A9-AC75-5BE4E0432880}"/>
    <cellStyle name="Normal 9" xfId="60" xr:uid="{CACF734E-9B54-4CD6-A177-0B57E33A091B}"/>
    <cellStyle name="Normal 9 2" xfId="61" xr:uid="{AFE94B54-6FDA-4612-BD95-B195C24D449B}"/>
    <cellStyle name="Per cent" xfId="62" builtinId="5"/>
    <cellStyle name="Percent 2" xfId="63" xr:uid="{FE22F377-CB03-4640-852C-3972F0388A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984A-1685-440F-97A7-1E9229CCDB1E}">
  <sheetPr>
    <pageSetUpPr fitToPage="1"/>
  </sheetPr>
  <dimension ref="A1:BA743"/>
  <sheetViews>
    <sheetView tabSelected="1" topLeftCell="A138" zoomScale="130" zoomScaleNormal="130" workbookViewId="0">
      <selection activeCell="E138" sqref="E138:E194"/>
    </sheetView>
  </sheetViews>
  <sheetFormatPr defaultRowHeight="12.75"/>
  <cols>
    <col min="1" max="1" width="4.42578125" customWidth="1"/>
    <col min="2" max="2" width="19.140625" style="272" customWidth="1"/>
    <col min="3" max="3" width="11.7109375" customWidth="1"/>
    <col min="4" max="4" width="7.7109375" bestFit="1" customWidth="1"/>
    <col min="5" max="5" width="19.140625" style="272" customWidth="1"/>
    <col min="7" max="8" width="11.140625" bestFit="1" customWidth="1"/>
    <col min="9" max="9" width="10.5703125" bestFit="1" customWidth="1"/>
    <col min="10" max="10" width="11.140625" customWidth="1"/>
    <col min="11" max="11" width="11.140625" bestFit="1" customWidth="1"/>
    <col min="12" max="12" width="10.5703125" bestFit="1" customWidth="1"/>
    <col min="13" max="13" width="11.140625" bestFit="1" customWidth="1"/>
    <col min="14" max="14" width="13.42578125" style="86" customWidth="1"/>
    <col min="15" max="15" width="14.5703125" style="86" customWidth="1"/>
    <col min="16" max="16" width="10.5703125" customWidth="1"/>
    <col min="17" max="17" width="10.5703125" bestFit="1" customWidth="1"/>
    <col min="18" max="18" width="11.140625" bestFit="1" customWidth="1"/>
    <col min="19" max="19" width="10.5703125" style="86" bestFit="1" customWidth="1"/>
    <col min="20" max="20" width="11.140625" bestFit="1" customWidth="1"/>
    <col min="21" max="21" width="10.7109375" bestFit="1" customWidth="1"/>
    <col min="22" max="22" width="10.5703125" bestFit="1" customWidth="1"/>
    <col min="23" max="23" width="10.7109375" bestFit="1" customWidth="1"/>
    <col min="24" max="24" width="13.5703125" bestFit="1" customWidth="1"/>
    <col min="25" max="26" width="11.140625" bestFit="1" customWidth="1"/>
    <col min="27" max="29" width="9.28515625" bestFit="1" customWidth="1"/>
  </cols>
  <sheetData>
    <row r="1" spans="1:22" ht="23.25">
      <c r="B1" s="267" t="s">
        <v>127</v>
      </c>
      <c r="C1" s="1"/>
      <c r="D1" s="1"/>
      <c r="E1" s="267"/>
    </row>
    <row r="3" spans="1:22" ht="26.25" customHeight="1">
      <c r="B3" s="268" t="s">
        <v>493</v>
      </c>
      <c r="C3" s="103"/>
      <c r="D3" s="103"/>
      <c r="E3" s="268"/>
      <c r="F3" s="103"/>
      <c r="G3" s="103"/>
      <c r="H3" s="103"/>
      <c r="I3" s="103"/>
      <c r="J3" s="103"/>
      <c r="K3" s="103"/>
      <c r="L3" s="103"/>
      <c r="M3" s="103"/>
    </row>
    <row r="4" spans="1:22" ht="26.25" customHeight="1">
      <c r="B4" s="268"/>
      <c r="C4" s="103"/>
      <c r="D4" s="103"/>
      <c r="E4" s="268"/>
      <c r="F4" s="103"/>
      <c r="G4" s="103"/>
      <c r="H4" s="103"/>
      <c r="I4" s="103"/>
      <c r="J4" s="103"/>
      <c r="K4" s="103"/>
      <c r="L4" s="103"/>
      <c r="M4" s="103"/>
    </row>
    <row r="5" spans="1:22" ht="24" customHeight="1">
      <c r="A5" s="58"/>
      <c r="B5" s="267" t="s">
        <v>225</v>
      </c>
      <c r="C5" s="1"/>
      <c r="D5" s="1"/>
      <c r="E5" s="267"/>
    </row>
    <row r="6" spans="1:22" ht="24" customHeight="1">
      <c r="A6" s="58"/>
      <c r="B6" s="267"/>
      <c r="C6" s="1"/>
      <c r="D6" s="1"/>
      <c r="E6" s="267"/>
    </row>
    <row r="7" spans="1:22" ht="12.75" customHeight="1">
      <c r="A7" s="58"/>
      <c r="B7" s="290" t="s">
        <v>139</v>
      </c>
      <c r="C7" s="132"/>
      <c r="D7" s="132"/>
      <c r="E7" s="269"/>
      <c r="F7" s="289" t="s">
        <v>48</v>
      </c>
      <c r="G7" s="289" t="s">
        <v>140</v>
      </c>
      <c r="H7" s="289" t="s">
        <v>141</v>
      </c>
      <c r="I7" s="289" t="s">
        <v>450</v>
      </c>
      <c r="J7" s="289" t="s">
        <v>451</v>
      </c>
      <c r="K7" s="289" t="s">
        <v>452</v>
      </c>
      <c r="L7" s="289" t="s">
        <v>518</v>
      </c>
      <c r="M7" s="289" t="s">
        <v>142</v>
      </c>
      <c r="N7" s="291" t="s">
        <v>437</v>
      </c>
      <c r="O7" s="291"/>
      <c r="P7" s="291"/>
      <c r="Q7" s="291"/>
      <c r="R7" s="291" t="s">
        <v>438</v>
      </c>
      <c r="S7" s="291"/>
      <c r="T7" s="291"/>
      <c r="U7" s="289" t="s">
        <v>419</v>
      </c>
      <c r="V7" s="289" t="s">
        <v>517</v>
      </c>
    </row>
    <row r="8" spans="1:22" s="92" customFormat="1" ht="18.75">
      <c r="A8" s="94"/>
      <c r="B8" s="290"/>
      <c r="C8" s="132"/>
      <c r="D8" s="132"/>
      <c r="E8" s="269"/>
      <c r="F8" s="289"/>
      <c r="G8" s="289"/>
      <c r="H8" s="289"/>
      <c r="I8" s="289"/>
      <c r="J8" s="289"/>
      <c r="K8" s="289"/>
      <c r="L8" s="289"/>
      <c r="M8" s="289"/>
      <c r="N8" s="95" t="s">
        <v>514</v>
      </c>
      <c r="O8" s="95" t="s">
        <v>516</v>
      </c>
      <c r="P8" s="95" t="s">
        <v>513</v>
      </c>
      <c r="Q8" s="95" t="s">
        <v>515</v>
      </c>
      <c r="R8" s="95" t="s">
        <v>514</v>
      </c>
      <c r="S8" s="95" t="s">
        <v>516</v>
      </c>
      <c r="T8" s="95" t="s">
        <v>418</v>
      </c>
      <c r="U8" s="289"/>
      <c r="V8" s="289"/>
    </row>
    <row r="9" spans="1:22" s="129" customFormat="1" ht="17.25">
      <c r="A9" s="127"/>
      <c r="B9" s="270" t="s">
        <v>144</v>
      </c>
      <c r="C9" s="128"/>
      <c r="D9" s="128"/>
      <c r="E9" s="270"/>
      <c r="F9" s="128" t="s">
        <v>47</v>
      </c>
      <c r="G9" s="128" t="s">
        <v>145</v>
      </c>
      <c r="H9" s="128" t="s">
        <v>145</v>
      </c>
      <c r="I9" s="128" t="s">
        <v>146</v>
      </c>
      <c r="J9" s="128" t="s">
        <v>146</v>
      </c>
      <c r="K9" s="128" t="s">
        <v>49</v>
      </c>
      <c r="L9" s="128" t="s">
        <v>420</v>
      </c>
      <c r="M9" s="128" t="s">
        <v>508</v>
      </c>
      <c r="N9" s="128" t="s">
        <v>509</v>
      </c>
      <c r="O9" s="128" t="s">
        <v>510</v>
      </c>
      <c r="P9" s="128" t="s">
        <v>510</v>
      </c>
      <c r="Q9" s="128" t="s">
        <v>146</v>
      </c>
      <c r="R9" s="128" t="s">
        <v>509</v>
      </c>
      <c r="S9" s="128" t="s">
        <v>510</v>
      </c>
      <c r="T9" s="128" t="s">
        <v>420</v>
      </c>
      <c r="U9" s="128" t="s">
        <v>511</v>
      </c>
      <c r="V9" s="128" t="s">
        <v>512</v>
      </c>
    </row>
    <row r="10" spans="1:22">
      <c r="A10" s="58"/>
      <c r="B10" s="271"/>
      <c r="C10" s="65"/>
      <c r="D10" s="65"/>
      <c r="E10" s="271"/>
      <c r="F10" s="65"/>
      <c r="G10" s="65"/>
      <c r="H10" s="65"/>
      <c r="I10" s="65"/>
      <c r="J10" s="65"/>
      <c r="K10" s="65"/>
      <c r="L10" s="98"/>
      <c r="M10" s="65"/>
      <c r="N10" s="65"/>
      <c r="O10" s="65"/>
      <c r="P10" s="98"/>
      <c r="Q10" s="65"/>
      <c r="R10" s="65"/>
      <c r="S10" s="65"/>
      <c r="T10" s="98"/>
      <c r="U10" s="98"/>
      <c r="V10" s="98"/>
    </row>
    <row r="11" spans="1:22">
      <c r="A11" s="58"/>
      <c r="B11" s="271" t="s">
        <v>562</v>
      </c>
      <c r="C11" s="65" t="str">
        <f t="array" ref="C11:D11">_xlfn.TEXTSPLIT(B11,"-")</f>
        <v>IPE</v>
      </c>
      <c r="D11" s="65" t="str">
        <v>AA 100</v>
      </c>
      <c r="E11" s="271" t="str">
        <f>IF(ISBLANK(D11),C11,_xlfn.CONCAT(C11," ",D11))</f>
        <v>IPE AA 100</v>
      </c>
      <c r="F11" s="65">
        <v>6.72</v>
      </c>
      <c r="G11" s="65">
        <v>97.6</v>
      </c>
      <c r="H11" s="65">
        <v>55</v>
      </c>
      <c r="I11" s="65">
        <v>3.6</v>
      </c>
      <c r="J11" s="65">
        <v>4.5</v>
      </c>
      <c r="K11" s="65">
        <v>7</v>
      </c>
      <c r="L11" s="65">
        <f>G11-2*(J11+K11)</f>
        <v>74.599999999999994</v>
      </c>
      <c r="M11" s="65">
        <v>0.85599999999999998</v>
      </c>
      <c r="N11" s="65">
        <v>1.36</v>
      </c>
      <c r="O11" s="65">
        <v>27.8</v>
      </c>
      <c r="P11" s="65">
        <v>31.9</v>
      </c>
      <c r="Q11" s="65">
        <v>39.799999999999997</v>
      </c>
      <c r="R11" s="65">
        <v>0.126</v>
      </c>
      <c r="S11" s="67">
        <v>4.57</v>
      </c>
      <c r="T11" s="65">
        <v>12.1</v>
      </c>
      <c r="U11" s="65">
        <v>7.33</v>
      </c>
      <c r="V11" s="65">
        <v>0.27200000000000002</v>
      </c>
    </row>
    <row r="12" spans="1:22">
      <c r="A12" s="58"/>
      <c r="B12" s="271" t="s">
        <v>563</v>
      </c>
      <c r="C12" s="65" t="str">
        <f t="array" ref="C12">_xlfn.TEXTSPLIT(B12,"-")</f>
        <v>IPE 100</v>
      </c>
      <c r="D12" s="65"/>
      <c r="E12" s="271" t="str">
        <f t="shared" ref="E12:E16" si="0">IF(ISBLANK(D12),C12,_xlfn.CONCAT(C12," ",D12))</f>
        <v>IPE 100</v>
      </c>
      <c r="F12" s="67">
        <v>8.1</v>
      </c>
      <c r="G12" s="65">
        <v>100</v>
      </c>
      <c r="H12" s="65">
        <v>55</v>
      </c>
      <c r="I12" s="65">
        <v>4.0999999999999996</v>
      </c>
      <c r="J12" s="65">
        <v>5.7</v>
      </c>
      <c r="K12" s="65">
        <v>7</v>
      </c>
      <c r="L12" s="65">
        <f t="shared" ref="L12:L63" si="1">G12-2*(J12+K12)</f>
        <v>74.599999999999994</v>
      </c>
      <c r="M12" s="65">
        <v>1.03</v>
      </c>
      <c r="N12" s="65">
        <v>1.71</v>
      </c>
      <c r="O12" s="65">
        <v>34.200000000000003</v>
      </c>
      <c r="P12" s="65">
        <v>39.4</v>
      </c>
      <c r="Q12" s="65">
        <v>40.700000000000003</v>
      </c>
      <c r="R12" s="65">
        <v>0.159</v>
      </c>
      <c r="S12" s="67">
        <v>5.79</v>
      </c>
      <c r="T12" s="65">
        <v>12.4</v>
      </c>
      <c r="U12" s="65">
        <v>12.1</v>
      </c>
      <c r="V12" s="65">
        <v>0.35399999999999998</v>
      </c>
    </row>
    <row r="13" spans="1:22">
      <c r="A13" s="58"/>
      <c r="B13" s="271" t="s">
        <v>564</v>
      </c>
      <c r="C13" s="65" t="str">
        <f t="array" ref="C13:D13">_xlfn.TEXTSPLIT(B13,"-")</f>
        <v>IPE</v>
      </c>
      <c r="D13" s="65" t="str">
        <v>AA 120</v>
      </c>
      <c r="E13" s="271" t="str">
        <f t="shared" si="0"/>
        <v>IPE AA 120</v>
      </c>
      <c r="F13" s="65">
        <v>8.36</v>
      </c>
      <c r="G13" s="65">
        <v>117</v>
      </c>
      <c r="H13" s="65">
        <v>64</v>
      </c>
      <c r="I13" s="65">
        <v>3.8</v>
      </c>
      <c r="J13" s="65">
        <v>4.8</v>
      </c>
      <c r="K13" s="65">
        <v>7</v>
      </c>
      <c r="L13" s="65">
        <f t="shared" si="1"/>
        <v>93.4</v>
      </c>
      <c r="M13" s="65">
        <v>1.06</v>
      </c>
      <c r="N13" s="65">
        <v>2.44</v>
      </c>
      <c r="O13" s="65">
        <v>41.7</v>
      </c>
      <c r="P13" s="65">
        <v>47.3</v>
      </c>
      <c r="Q13" s="65">
        <v>47.9</v>
      </c>
      <c r="R13" s="65">
        <v>0.21099999999999999</v>
      </c>
      <c r="S13" s="67">
        <v>6.59</v>
      </c>
      <c r="T13" s="65">
        <v>14.1</v>
      </c>
      <c r="U13" s="65">
        <v>9.5500000000000007</v>
      </c>
      <c r="V13" s="65">
        <v>0.66300000000000003</v>
      </c>
    </row>
    <row r="14" spans="1:22">
      <c r="A14" s="58"/>
      <c r="B14" s="271" t="s">
        <v>565</v>
      </c>
      <c r="C14" s="65" t="str">
        <f t="array" ref="C14">_xlfn.TEXTSPLIT(B14,"-")</f>
        <v>IPE 120</v>
      </c>
      <c r="D14" s="65"/>
      <c r="E14" s="271" t="str">
        <f t="shared" si="0"/>
        <v>IPE 120</v>
      </c>
      <c r="F14" s="65">
        <v>10.4</v>
      </c>
      <c r="G14" s="65">
        <v>120</v>
      </c>
      <c r="H14" s="65">
        <v>64</v>
      </c>
      <c r="I14" s="65">
        <v>4.4000000000000004</v>
      </c>
      <c r="J14" s="65">
        <v>6.3</v>
      </c>
      <c r="K14" s="65">
        <v>7</v>
      </c>
      <c r="L14" s="65">
        <f t="shared" si="1"/>
        <v>93.4</v>
      </c>
      <c r="M14" s="65">
        <v>1.32</v>
      </c>
      <c r="N14" s="65">
        <v>3.18</v>
      </c>
      <c r="O14" s="65">
        <v>53</v>
      </c>
      <c r="P14" s="65">
        <v>60.7</v>
      </c>
      <c r="Q14" s="65">
        <v>49</v>
      </c>
      <c r="R14" s="65">
        <v>0.27700000000000002</v>
      </c>
      <c r="S14" s="67">
        <v>8.65</v>
      </c>
      <c r="T14" s="65">
        <v>14.5</v>
      </c>
      <c r="U14" s="65">
        <v>17.399999999999999</v>
      </c>
      <c r="V14" s="65">
        <v>0.89400000000000002</v>
      </c>
    </row>
    <row r="15" spans="1:22">
      <c r="A15" s="58"/>
      <c r="B15" s="271" t="s">
        <v>566</v>
      </c>
      <c r="C15" s="65" t="str">
        <f t="array" ref="C15:D15">_xlfn.TEXTSPLIT(B15,"-")</f>
        <v>IPE</v>
      </c>
      <c r="D15" s="65" t="str">
        <v>AA 140</v>
      </c>
      <c r="E15" s="271" t="str">
        <f t="shared" si="0"/>
        <v>IPE AA 140</v>
      </c>
      <c r="F15" s="65">
        <v>10.1</v>
      </c>
      <c r="G15" s="65">
        <v>136.6</v>
      </c>
      <c r="H15" s="65">
        <v>73</v>
      </c>
      <c r="I15" s="65">
        <v>3.8</v>
      </c>
      <c r="J15" s="65">
        <v>5.2</v>
      </c>
      <c r="K15" s="65">
        <v>7</v>
      </c>
      <c r="L15" s="72">
        <f t="shared" si="1"/>
        <v>112.19999999999999</v>
      </c>
      <c r="M15" s="65">
        <v>1.28</v>
      </c>
      <c r="N15" s="65">
        <v>4.07</v>
      </c>
      <c r="O15" s="65">
        <v>59.7</v>
      </c>
      <c r="P15" s="65">
        <v>67.599999999999994</v>
      </c>
      <c r="Q15" s="65">
        <v>56.4</v>
      </c>
      <c r="R15" s="65">
        <v>0.33800000000000002</v>
      </c>
      <c r="S15" s="67">
        <v>9.27</v>
      </c>
      <c r="T15" s="65">
        <v>16.3</v>
      </c>
      <c r="U15" s="65">
        <v>12</v>
      </c>
      <c r="V15" s="65">
        <v>1.46</v>
      </c>
    </row>
    <row r="16" spans="1:22">
      <c r="A16" s="58"/>
      <c r="B16" s="271" t="s">
        <v>567</v>
      </c>
      <c r="C16" s="65" t="str">
        <f t="array" ref="C16">_xlfn.TEXTSPLIT(B16,"-")</f>
        <v>IPE 140</v>
      </c>
      <c r="D16" s="65"/>
      <c r="E16" s="271" t="str">
        <f t="shared" si="0"/>
        <v>IPE 140</v>
      </c>
      <c r="F16" s="65">
        <v>12.9</v>
      </c>
      <c r="G16" s="65">
        <v>140</v>
      </c>
      <c r="H16" s="65">
        <v>73</v>
      </c>
      <c r="I16" s="65">
        <v>4.7</v>
      </c>
      <c r="J16" s="65">
        <v>6.9</v>
      </c>
      <c r="K16" s="65">
        <v>7</v>
      </c>
      <c r="L16" s="72">
        <f t="shared" si="1"/>
        <v>112.2</v>
      </c>
      <c r="M16" s="65">
        <v>1.64</v>
      </c>
      <c r="N16" s="65">
        <v>5.41</v>
      </c>
      <c r="O16" s="65">
        <v>77.3</v>
      </c>
      <c r="P16" s="65">
        <v>88.3</v>
      </c>
      <c r="Q16" s="65">
        <v>57.4</v>
      </c>
      <c r="R16" s="65">
        <v>0.44900000000000001</v>
      </c>
      <c r="S16" s="67">
        <v>12.3</v>
      </c>
      <c r="T16" s="65">
        <v>16.5</v>
      </c>
      <c r="U16" s="65">
        <v>24.6</v>
      </c>
      <c r="V16" s="65">
        <v>1.99</v>
      </c>
    </row>
    <row r="17" spans="1:22">
      <c r="A17" s="58"/>
      <c r="B17" s="271" t="s">
        <v>133</v>
      </c>
      <c r="C17" s="65"/>
      <c r="D17" s="65"/>
      <c r="E17" s="271"/>
      <c r="F17" s="65" t="s">
        <v>135</v>
      </c>
      <c r="G17" s="65" t="s">
        <v>134</v>
      </c>
      <c r="H17" s="65" t="s">
        <v>134</v>
      </c>
      <c r="I17" s="65" t="s">
        <v>135</v>
      </c>
      <c r="J17" s="65" t="s">
        <v>135</v>
      </c>
      <c r="K17" s="65" t="s">
        <v>135</v>
      </c>
      <c r="L17" s="72"/>
      <c r="M17" s="65" t="s">
        <v>135</v>
      </c>
      <c r="N17" s="65" t="s">
        <v>135</v>
      </c>
      <c r="O17" s="65" t="s">
        <v>135</v>
      </c>
      <c r="P17" s="98"/>
      <c r="Q17" s="65" t="s">
        <v>135</v>
      </c>
      <c r="R17" s="65" t="s">
        <v>135</v>
      </c>
      <c r="S17" s="67"/>
      <c r="T17" s="98"/>
      <c r="U17" s="98"/>
      <c r="V17" s="98"/>
    </row>
    <row r="18" spans="1:22">
      <c r="A18" s="58"/>
      <c r="B18" s="271" t="s">
        <v>568</v>
      </c>
      <c r="C18" s="65" t="str">
        <f t="array" ref="C18:D18">_xlfn.TEXTSPLIT(B18,"-")</f>
        <v>IPE</v>
      </c>
      <c r="D18" s="65" t="str">
        <v>AA 160</v>
      </c>
      <c r="E18" s="271" t="str">
        <f t="shared" ref="E18:E23" si="2">IF(ISBLANK(D18),C18,_xlfn.CONCAT(C18," ",D18))</f>
        <v>IPE AA 160</v>
      </c>
      <c r="F18" s="65">
        <v>12.3</v>
      </c>
      <c r="G18" s="65">
        <v>156.4</v>
      </c>
      <c r="H18" s="65">
        <v>82</v>
      </c>
      <c r="I18" s="65">
        <v>4</v>
      </c>
      <c r="J18" s="65">
        <v>5.6</v>
      </c>
      <c r="K18" s="65">
        <v>9</v>
      </c>
      <c r="L18" s="72">
        <f t="shared" si="1"/>
        <v>127.2</v>
      </c>
      <c r="M18" s="67">
        <v>1.57</v>
      </c>
      <c r="N18" s="65">
        <v>6.59</v>
      </c>
      <c r="O18" s="65">
        <v>84.3</v>
      </c>
      <c r="P18" s="65">
        <v>95.2</v>
      </c>
      <c r="Q18" s="65">
        <v>64.8</v>
      </c>
      <c r="R18" s="65">
        <v>0.51700000000000002</v>
      </c>
      <c r="S18" s="68">
        <f t="shared" ref="S18:S63" si="3">R18*2000/H18</f>
        <v>12.609756097560975</v>
      </c>
      <c r="T18" s="65">
        <v>18.100000000000001</v>
      </c>
      <c r="U18" s="65">
        <v>18.2</v>
      </c>
      <c r="V18" s="65">
        <v>2.94</v>
      </c>
    </row>
    <row r="19" spans="1:22">
      <c r="A19" s="58"/>
      <c r="B19" s="271" t="s">
        <v>569</v>
      </c>
      <c r="C19" s="65" t="str">
        <f t="array" ref="C19">_xlfn.TEXTSPLIT(B19,"-")</f>
        <v>IPE 160</v>
      </c>
      <c r="D19" s="65"/>
      <c r="E19" s="271" t="str">
        <f t="shared" si="2"/>
        <v>IPE 160</v>
      </c>
      <c r="F19" s="65">
        <v>15.8</v>
      </c>
      <c r="G19" s="65">
        <v>160</v>
      </c>
      <c r="H19" s="65">
        <v>82</v>
      </c>
      <c r="I19" s="65">
        <v>5</v>
      </c>
      <c r="J19" s="65">
        <v>7.4</v>
      </c>
      <c r="K19" s="65">
        <v>9</v>
      </c>
      <c r="L19" s="72">
        <f t="shared" si="1"/>
        <v>127.2</v>
      </c>
      <c r="M19" s="67">
        <v>2.0099999999999998</v>
      </c>
      <c r="N19" s="65">
        <v>8.69</v>
      </c>
      <c r="O19" s="65">
        <v>109</v>
      </c>
      <c r="P19" s="65">
        <v>124</v>
      </c>
      <c r="Q19" s="65">
        <v>65.8</v>
      </c>
      <c r="R19" s="65">
        <v>0.68300000000000005</v>
      </c>
      <c r="S19" s="68">
        <f t="shared" si="3"/>
        <v>16.658536585365855</v>
      </c>
      <c r="T19" s="65">
        <v>18.399999999999999</v>
      </c>
      <c r="U19" s="65">
        <v>36.200000000000003</v>
      </c>
      <c r="V19" s="65">
        <v>3.98</v>
      </c>
    </row>
    <row r="20" spans="1:22">
      <c r="A20" s="58"/>
      <c r="B20" s="271" t="s">
        <v>570</v>
      </c>
      <c r="C20" s="65" t="str">
        <f t="array" ref="C20:D20">_xlfn.TEXTSPLIT(B20,"-")</f>
        <v>IPE</v>
      </c>
      <c r="D20" s="65" t="str">
        <v>AA 180</v>
      </c>
      <c r="E20" s="271" t="str">
        <f t="shared" si="2"/>
        <v>IPE AA 180</v>
      </c>
      <c r="F20" s="65">
        <v>14.9</v>
      </c>
      <c r="G20" s="65">
        <v>176.4</v>
      </c>
      <c r="H20" s="65">
        <v>91</v>
      </c>
      <c r="I20" s="65">
        <v>4.3</v>
      </c>
      <c r="J20" s="65">
        <v>6.2</v>
      </c>
      <c r="K20" s="65">
        <v>9</v>
      </c>
      <c r="L20" s="72">
        <f t="shared" si="1"/>
        <v>146</v>
      </c>
      <c r="M20" s="67">
        <v>1.9</v>
      </c>
      <c r="N20" s="65">
        <v>10.199999999999999</v>
      </c>
      <c r="O20" s="65">
        <v>116</v>
      </c>
      <c r="P20" s="65">
        <v>130</v>
      </c>
      <c r="Q20" s="65">
        <v>73.2</v>
      </c>
      <c r="R20" s="65">
        <v>0.78100000000000003</v>
      </c>
      <c r="S20" s="68">
        <f t="shared" si="3"/>
        <v>17.164835164835164</v>
      </c>
      <c r="T20" s="65">
        <v>20.3</v>
      </c>
      <c r="U20" s="65">
        <v>24.9</v>
      </c>
      <c r="V20" s="65">
        <v>5.66</v>
      </c>
    </row>
    <row r="21" spans="1:22">
      <c r="A21" s="58"/>
      <c r="B21" s="271" t="s">
        <v>571</v>
      </c>
      <c r="C21" s="65" t="str">
        <f t="array" ref="C21">_xlfn.TEXTSPLIT(B21,"-")</f>
        <v>IPE 180</v>
      </c>
      <c r="D21" s="65"/>
      <c r="E21" s="271" t="str">
        <f t="shared" si="2"/>
        <v>IPE 180</v>
      </c>
      <c r="F21" s="65">
        <v>18.8</v>
      </c>
      <c r="G21" s="65">
        <v>180</v>
      </c>
      <c r="H21" s="65">
        <v>91</v>
      </c>
      <c r="I21" s="65">
        <v>5.3</v>
      </c>
      <c r="J21" s="65">
        <v>8</v>
      </c>
      <c r="K21" s="65">
        <v>9</v>
      </c>
      <c r="L21" s="72">
        <f t="shared" si="1"/>
        <v>146</v>
      </c>
      <c r="M21" s="67">
        <v>2.39</v>
      </c>
      <c r="N21" s="65">
        <v>13.2</v>
      </c>
      <c r="O21" s="65">
        <v>146</v>
      </c>
      <c r="P21" s="65">
        <v>166</v>
      </c>
      <c r="Q21" s="65">
        <v>74.2</v>
      </c>
      <c r="R21" s="65">
        <v>1.01</v>
      </c>
      <c r="S21" s="68">
        <f t="shared" si="3"/>
        <v>22.197802197802197</v>
      </c>
      <c r="T21" s="65">
        <v>20.5</v>
      </c>
      <c r="U21" s="65">
        <v>48.1</v>
      </c>
      <c r="V21" s="65">
        <v>7.46</v>
      </c>
    </row>
    <row r="22" spans="1:22">
      <c r="A22" s="58"/>
      <c r="B22" s="271" t="s">
        <v>572</v>
      </c>
      <c r="C22" s="65" t="str">
        <f t="array" ref="C22:D22">_xlfn.TEXTSPLIT(B22,"-")</f>
        <v>IPE</v>
      </c>
      <c r="D22" s="65" t="str">
        <v>AA 200</v>
      </c>
      <c r="E22" s="271" t="str">
        <f t="shared" si="2"/>
        <v>IPE AA 200</v>
      </c>
      <c r="F22" s="68">
        <v>18</v>
      </c>
      <c r="G22" s="65">
        <v>196.4</v>
      </c>
      <c r="H22" s="65">
        <v>100</v>
      </c>
      <c r="I22" s="65">
        <v>4.5</v>
      </c>
      <c r="J22" s="65">
        <v>6.7</v>
      </c>
      <c r="K22" s="65">
        <v>12</v>
      </c>
      <c r="L22" s="72">
        <f t="shared" si="1"/>
        <v>159</v>
      </c>
      <c r="M22" s="67">
        <v>2.29</v>
      </c>
      <c r="N22" s="65">
        <v>15.3</v>
      </c>
      <c r="O22" s="65">
        <v>156</v>
      </c>
      <c r="P22" s="65">
        <v>176</v>
      </c>
      <c r="Q22" s="65">
        <v>81.900000000000006</v>
      </c>
      <c r="R22" s="65">
        <v>1.1200000000000001</v>
      </c>
      <c r="S22" s="68">
        <f t="shared" si="3"/>
        <v>22.4</v>
      </c>
      <c r="T22" s="65">
        <v>22.1</v>
      </c>
      <c r="U22" s="65">
        <v>38.700000000000003</v>
      </c>
      <c r="V22" s="65">
        <v>10.1</v>
      </c>
    </row>
    <row r="23" spans="1:22">
      <c r="A23" s="58"/>
      <c r="B23" s="271" t="s">
        <v>573</v>
      </c>
      <c r="C23" s="65" t="str">
        <f t="array" ref="C23">_xlfn.TEXTSPLIT(B23,"-")</f>
        <v>IPE 200</v>
      </c>
      <c r="D23" s="65"/>
      <c r="E23" s="271" t="str">
        <f t="shared" si="2"/>
        <v>IPE 200</v>
      </c>
      <c r="F23" s="65">
        <v>22.4</v>
      </c>
      <c r="G23" s="65">
        <v>200</v>
      </c>
      <c r="H23" s="65">
        <v>100</v>
      </c>
      <c r="I23" s="65">
        <v>5.6</v>
      </c>
      <c r="J23" s="65">
        <v>8.5</v>
      </c>
      <c r="K23" s="65">
        <v>12</v>
      </c>
      <c r="L23" s="72">
        <f t="shared" si="1"/>
        <v>159</v>
      </c>
      <c r="M23" s="67">
        <v>2.85</v>
      </c>
      <c r="N23" s="65">
        <v>19.399999999999999</v>
      </c>
      <c r="O23" s="65">
        <v>194</v>
      </c>
      <c r="P23" s="65">
        <v>221</v>
      </c>
      <c r="Q23" s="65">
        <v>82.6</v>
      </c>
      <c r="R23" s="65">
        <v>1.42</v>
      </c>
      <c r="S23" s="68">
        <v>28.5</v>
      </c>
      <c r="T23" s="65">
        <v>22.4</v>
      </c>
      <c r="U23" s="65">
        <v>70.2</v>
      </c>
      <c r="V23" s="65">
        <v>13.1</v>
      </c>
    </row>
    <row r="24" spans="1:22" ht="12.75" customHeight="1">
      <c r="A24" s="59"/>
      <c r="B24" s="271"/>
      <c r="C24" s="65"/>
      <c r="D24" s="65"/>
      <c r="E24" s="271"/>
      <c r="F24" s="65" t="s">
        <v>135</v>
      </c>
      <c r="G24" s="65" t="s">
        <v>134</v>
      </c>
      <c r="H24" s="65" t="s">
        <v>134</v>
      </c>
      <c r="I24" s="65" t="s">
        <v>135</v>
      </c>
      <c r="J24" s="65" t="s">
        <v>135</v>
      </c>
      <c r="K24" s="65" t="s">
        <v>135</v>
      </c>
      <c r="L24" s="72"/>
      <c r="M24" s="67" t="s">
        <v>135</v>
      </c>
      <c r="N24" s="65" t="s">
        <v>135</v>
      </c>
      <c r="O24" s="65" t="s">
        <v>135</v>
      </c>
      <c r="P24" s="98"/>
      <c r="Q24" s="65" t="s">
        <v>135</v>
      </c>
      <c r="R24" s="65" t="s">
        <v>135</v>
      </c>
      <c r="S24" s="68"/>
      <c r="T24" s="98"/>
      <c r="U24" s="98"/>
      <c r="V24" s="98"/>
    </row>
    <row r="25" spans="1:22">
      <c r="A25" s="59"/>
      <c r="B25" s="271" t="s">
        <v>574</v>
      </c>
      <c r="C25" s="65"/>
      <c r="D25" s="65"/>
      <c r="E25" s="271" t="str">
        <f>IF(ISBLANK(B25),"",_xlfn.CONCAT("UB ",B25))</f>
        <v>UB 203x133x25</v>
      </c>
      <c r="F25" s="68">
        <v>25.1</v>
      </c>
      <c r="G25" s="65">
        <v>203.2</v>
      </c>
      <c r="H25" s="65">
        <v>133.4</v>
      </c>
      <c r="I25" s="65">
        <v>5.7</v>
      </c>
      <c r="J25" s="65">
        <v>7.8</v>
      </c>
      <c r="K25" s="65">
        <v>7.6</v>
      </c>
      <c r="L25" s="72">
        <f t="shared" si="1"/>
        <v>172.39999999999998</v>
      </c>
      <c r="M25" s="67">
        <v>3.22</v>
      </c>
      <c r="N25" s="65">
        <v>23.5</v>
      </c>
      <c r="O25" s="65">
        <v>231</v>
      </c>
      <c r="P25" s="65">
        <v>259</v>
      </c>
      <c r="Q25" s="65">
        <v>85.4</v>
      </c>
      <c r="R25" s="65">
        <v>3.09</v>
      </c>
      <c r="S25" s="68">
        <f t="shared" si="3"/>
        <v>46.326836581709145</v>
      </c>
      <c r="T25" s="65">
        <v>31</v>
      </c>
      <c r="U25" s="65">
        <v>59</v>
      </c>
      <c r="V25" s="65">
        <v>29.5</v>
      </c>
    </row>
    <row r="26" spans="1:22">
      <c r="A26" s="59"/>
      <c r="B26" s="271" t="s">
        <v>575</v>
      </c>
      <c r="C26" s="65"/>
      <c r="D26" s="65"/>
      <c r="E26" s="271" t="str">
        <f>IF(ISBLANK(B26),"",_xlfn.CONCAT("UB ",B26))</f>
        <v>UB 203x133x30</v>
      </c>
      <c r="F26" s="68">
        <v>30</v>
      </c>
      <c r="G26" s="65">
        <v>206.8</v>
      </c>
      <c r="H26" s="65">
        <v>133.80000000000001</v>
      </c>
      <c r="I26" s="65">
        <v>6.4</v>
      </c>
      <c r="J26" s="65">
        <v>9.6</v>
      </c>
      <c r="K26" s="65">
        <v>7.6</v>
      </c>
      <c r="L26" s="72">
        <f t="shared" si="1"/>
        <v>172.4</v>
      </c>
      <c r="M26" s="67">
        <v>3.8</v>
      </c>
      <c r="N26" s="65">
        <v>28.9</v>
      </c>
      <c r="O26" s="65">
        <v>279</v>
      </c>
      <c r="P26" s="65">
        <v>313</v>
      </c>
      <c r="Q26" s="65">
        <v>87.2</v>
      </c>
      <c r="R26" s="65">
        <v>3.84</v>
      </c>
      <c r="S26" s="68">
        <f t="shared" si="3"/>
        <v>57.399103139013448</v>
      </c>
      <c r="T26" s="65">
        <v>31.8</v>
      </c>
      <c r="U26" s="65">
        <v>103</v>
      </c>
      <c r="V26" s="65">
        <v>37.299999999999997</v>
      </c>
    </row>
    <row r="27" spans="1:22">
      <c r="A27" s="59"/>
      <c r="B27" s="271"/>
      <c r="C27" s="65"/>
      <c r="D27" s="65"/>
      <c r="E27" s="271" t="str">
        <f t="shared" ref="E27:E63" si="4">IF(ISBLANK(B27),"",_xlfn.CONCAT("UB ",B27))</f>
        <v/>
      </c>
      <c r="F27" s="68" t="s">
        <v>135</v>
      </c>
      <c r="G27" s="65" t="s">
        <v>134</v>
      </c>
      <c r="H27" s="65" t="s">
        <v>134</v>
      </c>
      <c r="I27" s="65" t="s">
        <v>135</v>
      </c>
      <c r="J27" s="65" t="s">
        <v>135</v>
      </c>
      <c r="K27" s="65" t="s">
        <v>135</v>
      </c>
      <c r="L27" s="72"/>
      <c r="M27" s="67" t="s">
        <v>135</v>
      </c>
      <c r="N27" s="65" t="s">
        <v>135</v>
      </c>
      <c r="O27" s="65" t="s">
        <v>135</v>
      </c>
      <c r="P27" s="98"/>
      <c r="Q27" s="65" t="s">
        <v>135</v>
      </c>
      <c r="R27" s="65" t="s">
        <v>135</v>
      </c>
      <c r="S27" s="68"/>
      <c r="T27" s="98"/>
      <c r="U27" s="98"/>
      <c r="V27" s="98"/>
    </row>
    <row r="28" spans="1:22">
      <c r="A28" s="59"/>
      <c r="B28" s="271" t="s">
        <v>576</v>
      </c>
      <c r="C28" s="65"/>
      <c r="D28" s="65"/>
      <c r="E28" s="271" t="str">
        <f t="shared" si="4"/>
        <v>UB 254x146x31</v>
      </c>
      <c r="F28" s="68">
        <v>31.1</v>
      </c>
      <c r="G28" s="65">
        <v>251.5</v>
      </c>
      <c r="H28" s="65">
        <v>146.1</v>
      </c>
      <c r="I28" s="65">
        <v>6</v>
      </c>
      <c r="J28" s="65">
        <v>8.6</v>
      </c>
      <c r="K28" s="65">
        <v>7.6</v>
      </c>
      <c r="L28" s="72">
        <f t="shared" si="1"/>
        <v>219.1</v>
      </c>
      <c r="M28" s="67">
        <v>3.99</v>
      </c>
      <c r="N28" s="65">
        <v>44.3</v>
      </c>
      <c r="O28" s="65">
        <v>352</v>
      </c>
      <c r="P28" s="65">
        <v>395</v>
      </c>
      <c r="Q28" s="65">
        <v>105</v>
      </c>
      <c r="R28" s="65">
        <v>4.4800000000000004</v>
      </c>
      <c r="S28" s="68">
        <f t="shared" si="3"/>
        <v>61.327857631759073</v>
      </c>
      <c r="T28" s="65">
        <v>33.5</v>
      </c>
      <c r="U28" s="65">
        <v>84.9</v>
      </c>
      <c r="V28" s="65">
        <v>66</v>
      </c>
    </row>
    <row r="29" spans="1:22">
      <c r="A29" s="59"/>
      <c r="B29" s="271" t="s">
        <v>577</v>
      </c>
      <c r="C29" s="65"/>
      <c r="D29" s="65"/>
      <c r="E29" s="271" t="str">
        <f t="shared" si="4"/>
        <v>UB 254x146x37</v>
      </c>
      <c r="F29" s="68">
        <v>37</v>
      </c>
      <c r="G29" s="65">
        <v>256</v>
      </c>
      <c r="H29" s="65">
        <v>146.4</v>
      </c>
      <c r="I29" s="65">
        <v>6.3</v>
      </c>
      <c r="J29" s="65">
        <v>10.9</v>
      </c>
      <c r="K29" s="65">
        <v>7.6</v>
      </c>
      <c r="L29" s="72">
        <f t="shared" si="1"/>
        <v>219</v>
      </c>
      <c r="M29" s="67">
        <v>4.74</v>
      </c>
      <c r="N29" s="65">
        <v>55.5</v>
      </c>
      <c r="O29" s="65">
        <v>433</v>
      </c>
      <c r="P29" s="65">
        <v>485</v>
      </c>
      <c r="Q29" s="65">
        <v>108</v>
      </c>
      <c r="R29" s="65">
        <v>5.71</v>
      </c>
      <c r="S29" s="68">
        <f t="shared" si="3"/>
        <v>78.005464480874309</v>
      </c>
      <c r="T29" s="65">
        <v>34.700000000000003</v>
      </c>
      <c r="U29" s="65">
        <v>155</v>
      </c>
      <c r="V29" s="65">
        <v>85.7</v>
      </c>
    </row>
    <row r="30" spans="1:22">
      <c r="A30" s="59"/>
      <c r="B30" s="271" t="s">
        <v>578</v>
      </c>
      <c r="C30" s="65"/>
      <c r="D30" s="65"/>
      <c r="E30" s="271" t="str">
        <f t="shared" si="4"/>
        <v>UB 254x146x43</v>
      </c>
      <c r="F30" s="68">
        <v>43</v>
      </c>
      <c r="G30" s="65">
        <v>259.60000000000002</v>
      </c>
      <c r="H30" s="65">
        <v>147.30000000000001</v>
      </c>
      <c r="I30" s="65">
        <v>7.2</v>
      </c>
      <c r="J30" s="65">
        <v>12.7</v>
      </c>
      <c r="K30" s="65">
        <v>7.6</v>
      </c>
      <c r="L30" s="72">
        <f t="shared" si="1"/>
        <v>219.00000000000003</v>
      </c>
      <c r="M30" s="67">
        <v>5.5</v>
      </c>
      <c r="N30" s="65">
        <v>65.5</v>
      </c>
      <c r="O30" s="65">
        <v>505</v>
      </c>
      <c r="P30" s="65">
        <v>568</v>
      </c>
      <c r="Q30" s="65">
        <v>109</v>
      </c>
      <c r="R30" s="65">
        <v>6.77</v>
      </c>
      <c r="S30" s="68">
        <v>92</v>
      </c>
      <c r="T30" s="65">
        <v>35.1</v>
      </c>
      <c r="U30" s="65">
        <v>242</v>
      </c>
      <c r="V30" s="65">
        <v>103</v>
      </c>
    </row>
    <row r="31" spans="1:22">
      <c r="A31" s="59"/>
      <c r="B31" s="271"/>
      <c r="C31" s="65"/>
      <c r="D31" s="65"/>
      <c r="E31" s="271" t="str">
        <f t="shared" si="4"/>
        <v/>
      </c>
      <c r="F31" s="68" t="s">
        <v>135</v>
      </c>
      <c r="G31" s="65" t="s">
        <v>134</v>
      </c>
      <c r="H31" s="65" t="s">
        <v>134</v>
      </c>
      <c r="I31" s="65" t="s">
        <v>135</v>
      </c>
      <c r="J31" s="65" t="s">
        <v>135</v>
      </c>
      <c r="K31" s="65" t="s">
        <v>135</v>
      </c>
      <c r="L31" s="72"/>
      <c r="M31" s="67" t="s">
        <v>135</v>
      </c>
      <c r="N31" s="65" t="s">
        <v>135</v>
      </c>
      <c r="O31" s="65" t="s">
        <v>135</v>
      </c>
      <c r="P31" s="98"/>
      <c r="Q31" s="65" t="s">
        <v>135</v>
      </c>
      <c r="R31" s="65" t="s">
        <v>135</v>
      </c>
      <c r="S31" s="68"/>
      <c r="T31" s="98"/>
      <c r="U31" s="98"/>
      <c r="V31" s="98"/>
    </row>
    <row r="32" spans="1:22">
      <c r="A32" s="59"/>
      <c r="B32" s="271" t="s">
        <v>579</v>
      </c>
      <c r="C32" s="65"/>
      <c r="D32" s="65"/>
      <c r="E32" s="271" t="str">
        <f t="shared" si="4"/>
        <v>UB 305x102x25</v>
      </c>
      <c r="F32" s="68">
        <v>24.8</v>
      </c>
      <c r="G32" s="65">
        <v>304.8</v>
      </c>
      <c r="H32" s="65">
        <v>101.6</v>
      </c>
      <c r="I32" s="65">
        <v>5.8</v>
      </c>
      <c r="J32" s="65">
        <v>7</v>
      </c>
      <c r="K32" s="65">
        <v>7.6</v>
      </c>
      <c r="L32" s="72">
        <f t="shared" si="1"/>
        <v>275.60000000000002</v>
      </c>
      <c r="M32" s="67">
        <v>3.12</v>
      </c>
      <c r="N32" s="65">
        <v>43.6</v>
      </c>
      <c r="O32" s="65">
        <v>286</v>
      </c>
      <c r="P32" s="65">
        <v>336</v>
      </c>
      <c r="Q32" s="65">
        <v>118</v>
      </c>
      <c r="R32" s="65">
        <v>1.19</v>
      </c>
      <c r="S32" s="68">
        <v>23.5</v>
      </c>
      <c r="T32" s="65">
        <v>19.600000000000001</v>
      </c>
      <c r="U32" s="65">
        <v>48</v>
      </c>
      <c r="V32" s="65">
        <v>26.5</v>
      </c>
    </row>
    <row r="33" spans="1:22">
      <c r="A33" s="59"/>
      <c r="B33" s="276" t="s">
        <v>387</v>
      </c>
      <c r="C33" s="71"/>
      <c r="D33" s="71"/>
      <c r="E33" s="271" t="str">
        <f t="shared" si="4"/>
        <v>UB 305x102x28</v>
      </c>
      <c r="F33" s="68">
        <v>28.2</v>
      </c>
      <c r="G33" s="65">
        <v>308.89999999999998</v>
      </c>
      <c r="H33" s="65">
        <v>101.9</v>
      </c>
      <c r="I33" s="65">
        <v>6</v>
      </c>
      <c r="J33" s="65">
        <v>8.8000000000000007</v>
      </c>
      <c r="K33" s="65">
        <v>7.6</v>
      </c>
      <c r="L33" s="72">
        <f t="shared" si="1"/>
        <v>276.09999999999997</v>
      </c>
      <c r="M33" s="67">
        <v>3.64</v>
      </c>
      <c r="N33" s="65">
        <v>54.4</v>
      </c>
      <c r="O33" s="65">
        <v>352</v>
      </c>
      <c r="P33" s="65">
        <v>408</v>
      </c>
      <c r="Q33" s="65">
        <v>122</v>
      </c>
      <c r="R33" s="65">
        <v>1.58</v>
      </c>
      <c r="S33" s="68">
        <v>30.9</v>
      </c>
      <c r="T33" s="65">
        <v>20.8</v>
      </c>
      <c r="U33" s="65">
        <v>78.3</v>
      </c>
      <c r="V33" s="65">
        <v>35.5</v>
      </c>
    </row>
    <row r="34" spans="1:22">
      <c r="A34" s="59"/>
      <c r="B34" s="271" t="s">
        <v>580</v>
      </c>
      <c r="C34" s="65"/>
      <c r="D34" s="65"/>
      <c r="E34" s="271" t="str">
        <f t="shared" si="4"/>
        <v>UB 305x102x33</v>
      </c>
      <c r="F34" s="68">
        <v>32.799999999999997</v>
      </c>
      <c r="G34" s="65">
        <v>312.7</v>
      </c>
      <c r="H34" s="65">
        <v>102.4</v>
      </c>
      <c r="I34" s="65">
        <v>6.6</v>
      </c>
      <c r="J34" s="65">
        <v>10.8</v>
      </c>
      <c r="K34" s="65">
        <v>7.6</v>
      </c>
      <c r="L34" s="72">
        <f t="shared" si="1"/>
        <v>275.89999999999998</v>
      </c>
      <c r="M34" s="67">
        <v>4.18</v>
      </c>
      <c r="N34" s="68">
        <v>65</v>
      </c>
      <c r="O34" s="65">
        <v>416</v>
      </c>
      <c r="P34" s="65">
        <v>481</v>
      </c>
      <c r="Q34" s="65">
        <v>125</v>
      </c>
      <c r="R34" s="65">
        <v>1.94</v>
      </c>
      <c r="S34" s="68">
        <f t="shared" si="3"/>
        <v>37.890625</v>
      </c>
      <c r="T34" s="65">
        <v>21.5</v>
      </c>
      <c r="U34" s="65">
        <v>123</v>
      </c>
      <c r="V34" s="65">
        <v>44.2</v>
      </c>
    </row>
    <row r="35" spans="1:22">
      <c r="A35" s="59"/>
      <c r="B35" s="271"/>
      <c r="C35" s="65"/>
      <c r="D35" s="65"/>
      <c r="E35" s="271" t="str">
        <f t="shared" si="4"/>
        <v/>
      </c>
      <c r="F35" s="68" t="s">
        <v>135</v>
      </c>
      <c r="G35" s="65" t="s">
        <v>134</v>
      </c>
      <c r="H35" s="65" t="s">
        <v>134</v>
      </c>
      <c r="I35" s="65" t="s">
        <v>135</v>
      </c>
      <c r="J35" s="65" t="s">
        <v>135</v>
      </c>
      <c r="K35" s="65" t="s">
        <v>135</v>
      </c>
      <c r="L35" s="72"/>
      <c r="M35" s="67" t="s">
        <v>135</v>
      </c>
      <c r="N35" s="65" t="s">
        <v>135</v>
      </c>
      <c r="O35" s="65" t="s">
        <v>135</v>
      </c>
      <c r="P35" s="98"/>
      <c r="Q35" s="65" t="s">
        <v>135</v>
      </c>
      <c r="R35" s="65" t="s">
        <v>135</v>
      </c>
      <c r="S35" s="68"/>
      <c r="T35" s="98"/>
      <c r="U35" s="98"/>
      <c r="V35" s="98"/>
    </row>
    <row r="36" spans="1:22">
      <c r="A36" s="59"/>
      <c r="B36" s="276" t="s">
        <v>388</v>
      </c>
      <c r="C36" s="71"/>
      <c r="D36" s="71"/>
      <c r="E36" s="271" t="str">
        <f t="shared" si="4"/>
        <v>UB 305x165x40</v>
      </c>
      <c r="F36" s="68">
        <v>40.299999999999997</v>
      </c>
      <c r="G36" s="65">
        <v>303.8</v>
      </c>
      <c r="H36" s="65">
        <v>165.1</v>
      </c>
      <c r="I36" s="65">
        <v>6.1</v>
      </c>
      <c r="J36" s="65">
        <v>10.199999999999999</v>
      </c>
      <c r="K36" s="65">
        <v>8.9</v>
      </c>
      <c r="L36" s="72">
        <f t="shared" si="1"/>
        <v>265.60000000000002</v>
      </c>
      <c r="M36" s="67">
        <v>5.16</v>
      </c>
      <c r="N36" s="65">
        <v>85.5</v>
      </c>
      <c r="O36" s="65">
        <v>563</v>
      </c>
      <c r="P36" s="65">
        <v>626</v>
      </c>
      <c r="Q36" s="65">
        <v>129</v>
      </c>
      <c r="R36" s="65">
        <v>7.66</v>
      </c>
      <c r="S36" s="68">
        <f t="shared" si="3"/>
        <v>92.792247122955786</v>
      </c>
      <c r="T36" s="65">
        <v>38.5</v>
      </c>
      <c r="U36" s="65">
        <v>149</v>
      </c>
      <c r="V36" s="65">
        <v>165</v>
      </c>
    </row>
    <row r="37" spans="1:22">
      <c r="A37" s="59"/>
      <c r="B37" s="271" t="s">
        <v>581</v>
      </c>
      <c r="C37" s="65"/>
      <c r="D37" s="65"/>
      <c r="E37" s="271" t="str">
        <f t="shared" si="4"/>
        <v>UB 305x165x46</v>
      </c>
      <c r="F37" s="68">
        <v>46.1</v>
      </c>
      <c r="G37" s="65">
        <v>307.10000000000002</v>
      </c>
      <c r="H37" s="65">
        <v>165.7</v>
      </c>
      <c r="I37" s="65">
        <v>6.7</v>
      </c>
      <c r="J37" s="65">
        <v>11.8</v>
      </c>
      <c r="K37" s="65">
        <v>8.9</v>
      </c>
      <c r="L37" s="72">
        <f t="shared" si="1"/>
        <v>265.70000000000005</v>
      </c>
      <c r="M37" s="67">
        <v>5.88</v>
      </c>
      <c r="N37" s="65">
        <v>99.3</v>
      </c>
      <c r="O37" s="65">
        <v>647</v>
      </c>
      <c r="P37" s="65">
        <v>722</v>
      </c>
      <c r="Q37" s="65">
        <v>130</v>
      </c>
      <c r="R37" s="65">
        <v>8.9600000000000009</v>
      </c>
      <c r="S37" s="72">
        <f t="shared" si="3"/>
        <v>108.14725407362704</v>
      </c>
      <c r="T37" s="65">
        <v>39</v>
      </c>
      <c r="U37" s="65">
        <v>223</v>
      </c>
      <c r="V37" s="65">
        <v>195</v>
      </c>
    </row>
    <row r="38" spans="1:22">
      <c r="A38" s="59"/>
      <c r="B38" s="271" t="s">
        <v>582</v>
      </c>
      <c r="C38" s="65"/>
      <c r="D38" s="65"/>
      <c r="E38" s="271" t="str">
        <f t="shared" si="4"/>
        <v>UB 305x165x54</v>
      </c>
      <c r="F38" s="68">
        <v>54</v>
      </c>
      <c r="G38" s="65">
        <v>310.89999999999998</v>
      </c>
      <c r="H38" s="65">
        <v>166.8</v>
      </c>
      <c r="I38" s="65">
        <v>7.7</v>
      </c>
      <c r="J38" s="65">
        <v>13.7</v>
      </c>
      <c r="K38" s="65">
        <v>8.9</v>
      </c>
      <c r="L38" s="72">
        <f t="shared" si="1"/>
        <v>265.7</v>
      </c>
      <c r="M38" s="67">
        <v>6.82</v>
      </c>
      <c r="N38" s="65">
        <v>117</v>
      </c>
      <c r="O38" s="65">
        <v>752</v>
      </c>
      <c r="P38" s="65">
        <v>843</v>
      </c>
      <c r="Q38" s="65">
        <v>131</v>
      </c>
      <c r="R38" s="65">
        <v>10.6</v>
      </c>
      <c r="S38" s="72">
        <f t="shared" si="3"/>
        <v>127.09832134292564</v>
      </c>
      <c r="T38" s="65">
        <v>39.4</v>
      </c>
      <c r="U38" s="65">
        <v>345</v>
      </c>
      <c r="V38" s="65">
        <v>234</v>
      </c>
    </row>
    <row r="39" spans="1:22" ht="12.75" customHeight="1">
      <c r="A39" s="59"/>
      <c r="B39" s="271"/>
      <c r="C39" s="65"/>
      <c r="D39" s="65"/>
      <c r="E39" s="271" t="str">
        <f t="shared" si="4"/>
        <v/>
      </c>
      <c r="F39" s="68" t="s">
        <v>135</v>
      </c>
      <c r="G39" s="65" t="s">
        <v>134</v>
      </c>
      <c r="H39" s="65" t="s">
        <v>134</v>
      </c>
      <c r="I39" s="65" t="s">
        <v>135</v>
      </c>
      <c r="J39" s="65" t="s">
        <v>135</v>
      </c>
      <c r="K39" s="65" t="s">
        <v>135</v>
      </c>
      <c r="L39" s="72"/>
      <c r="M39" s="67" t="s">
        <v>135</v>
      </c>
      <c r="N39" s="65" t="s">
        <v>135</v>
      </c>
      <c r="O39" s="65" t="s">
        <v>135</v>
      </c>
      <c r="P39" s="98"/>
      <c r="Q39" s="65" t="s">
        <v>135</v>
      </c>
      <c r="R39" s="65" t="s">
        <v>135</v>
      </c>
      <c r="S39" s="68"/>
      <c r="T39" s="98"/>
      <c r="U39" s="98"/>
      <c r="V39" s="98"/>
    </row>
    <row r="40" spans="1:22">
      <c r="A40" s="59"/>
      <c r="B40" s="271" t="s">
        <v>583</v>
      </c>
      <c r="C40" s="65"/>
      <c r="D40" s="65"/>
      <c r="E40" s="271" t="str">
        <f t="shared" si="4"/>
        <v>UB 356x171x45</v>
      </c>
      <c r="F40" s="68">
        <v>45</v>
      </c>
      <c r="G40" s="65">
        <v>352</v>
      </c>
      <c r="H40" s="65">
        <v>171</v>
      </c>
      <c r="I40" s="65">
        <v>6.9</v>
      </c>
      <c r="J40" s="65">
        <v>9.6999999999999993</v>
      </c>
      <c r="K40" s="65">
        <v>10.199999999999999</v>
      </c>
      <c r="L40" s="72">
        <f t="shared" si="1"/>
        <v>312.2</v>
      </c>
      <c r="M40" s="67">
        <v>5.7</v>
      </c>
      <c r="N40" s="65">
        <v>121</v>
      </c>
      <c r="O40" s="65">
        <v>686</v>
      </c>
      <c r="P40" s="65">
        <v>773</v>
      </c>
      <c r="Q40" s="65">
        <v>146</v>
      </c>
      <c r="R40" s="67">
        <v>8.1</v>
      </c>
      <c r="S40" s="68">
        <f t="shared" si="3"/>
        <v>94.736842105263165</v>
      </c>
      <c r="T40" s="65">
        <v>37.700000000000003</v>
      </c>
      <c r="U40" s="65">
        <v>160</v>
      </c>
      <c r="V40" s="65">
        <v>237</v>
      </c>
    </row>
    <row r="41" spans="1:22">
      <c r="A41" s="59"/>
      <c r="B41" s="271" t="s">
        <v>584</v>
      </c>
      <c r="C41" s="65"/>
      <c r="D41" s="65"/>
      <c r="E41" s="271" t="str">
        <f t="shared" si="4"/>
        <v>UB 356x171x51</v>
      </c>
      <c r="F41" s="68">
        <v>51</v>
      </c>
      <c r="G41" s="65">
        <v>355.6</v>
      </c>
      <c r="H41" s="65">
        <v>171.5</v>
      </c>
      <c r="I41" s="65">
        <v>7.3</v>
      </c>
      <c r="J41" s="65">
        <v>11.5</v>
      </c>
      <c r="K41" s="65">
        <v>10.199999999999999</v>
      </c>
      <c r="L41" s="72">
        <f t="shared" si="1"/>
        <v>312.20000000000005</v>
      </c>
      <c r="M41" s="67">
        <v>6.46</v>
      </c>
      <c r="N41" s="65">
        <v>142</v>
      </c>
      <c r="O41" s="65">
        <v>796</v>
      </c>
      <c r="P41" s="65">
        <v>895</v>
      </c>
      <c r="Q41" s="65">
        <v>148</v>
      </c>
      <c r="R41" s="65">
        <v>9.68</v>
      </c>
      <c r="S41" s="72">
        <f t="shared" si="3"/>
        <v>112.8862973760933</v>
      </c>
      <c r="T41" s="65">
        <v>38.700000000000003</v>
      </c>
      <c r="U41" s="65">
        <v>238</v>
      </c>
      <c r="V41" s="65">
        <v>287</v>
      </c>
    </row>
    <row r="42" spans="1:22">
      <c r="A42" s="59"/>
      <c r="B42" s="271" t="s">
        <v>585</v>
      </c>
      <c r="C42" s="65"/>
      <c r="D42" s="65"/>
      <c r="E42" s="271" t="str">
        <f t="shared" si="4"/>
        <v>UB 356x171x57</v>
      </c>
      <c r="F42" s="68">
        <v>57</v>
      </c>
      <c r="G42" s="65">
        <v>358.6</v>
      </c>
      <c r="H42" s="65">
        <v>172.1</v>
      </c>
      <c r="I42" s="65">
        <v>8</v>
      </c>
      <c r="J42" s="65">
        <v>13</v>
      </c>
      <c r="K42" s="65">
        <v>10.199999999999999</v>
      </c>
      <c r="L42" s="72">
        <f t="shared" si="1"/>
        <v>312.20000000000005</v>
      </c>
      <c r="M42" s="67">
        <v>7.22</v>
      </c>
      <c r="N42" s="65">
        <v>161</v>
      </c>
      <c r="O42" s="65">
        <v>896</v>
      </c>
      <c r="P42" s="65">
        <v>1010</v>
      </c>
      <c r="Q42" s="65">
        <v>149</v>
      </c>
      <c r="R42" s="65">
        <v>11.1</v>
      </c>
      <c r="S42" s="72">
        <f t="shared" si="3"/>
        <v>128.99477048227774</v>
      </c>
      <c r="T42" s="65">
        <v>39.1</v>
      </c>
      <c r="U42" s="65">
        <v>334</v>
      </c>
      <c r="V42" s="65">
        <v>330</v>
      </c>
    </row>
    <row r="43" spans="1:22">
      <c r="A43" s="59"/>
      <c r="B43" s="271" t="s">
        <v>586</v>
      </c>
      <c r="C43" s="65"/>
      <c r="D43" s="65"/>
      <c r="E43" s="271" t="str">
        <f t="shared" si="4"/>
        <v>UB 356x171x67</v>
      </c>
      <c r="F43" s="68">
        <v>67.099999999999994</v>
      </c>
      <c r="G43" s="65">
        <v>364</v>
      </c>
      <c r="H43" s="65">
        <v>173.2</v>
      </c>
      <c r="I43" s="65">
        <v>9.1</v>
      </c>
      <c r="J43" s="65">
        <v>15.7</v>
      </c>
      <c r="K43" s="65">
        <v>10.199999999999999</v>
      </c>
      <c r="L43" s="72">
        <f t="shared" si="1"/>
        <v>312.2</v>
      </c>
      <c r="M43" s="67">
        <v>8.5500000000000007</v>
      </c>
      <c r="N43" s="65">
        <v>195</v>
      </c>
      <c r="O43" s="65">
        <v>1070</v>
      </c>
      <c r="P43" s="65">
        <v>1210</v>
      </c>
      <c r="Q43" s="65">
        <v>151</v>
      </c>
      <c r="R43" s="65">
        <v>13.6</v>
      </c>
      <c r="S43" s="72">
        <f t="shared" si="3"/>
        <v>157.04387990762126</v>
      </c>
      <c r="T43" s="65">
        <v>39.9</v>
      </c>
      <c r="U43" s="65">
        <v>560</v>
      </c>
      <c r="V43" s="65">
        <v>413</v>
      </c>
    </row>
    <row r="44" spans="1:22">
      <c r="A44" s="59"/>
      <c r="B44" s="271"/>
      <c r="C44" s="65"/>
      <c r="D44" s="65"/>
      <c r="E44" s="271" t="str">
        <f t="shared" si="4"/>
        <v/>
      </c>
      <c r="F44" s="68" t="s">
        <v>135</v>
      </c>
      <c r="G44" s="65" t="s">
        <v>134</v>
      </c>
      <c r="H44" s="65" t="s">
        <v>134</v>
      </c>
      <c r="I44" s="65" t="s">
        <v>135</v>
      </c>
      <c r="J44" s="65" t="s">
        <v>135</v>
      </c>
      <c r="K44" s="65" t="s">
        <v>135</v>
      </c>
      <c r="L44" s="72"/>
      <c r="M44" s="67" t="s">
        <v>135</v>
      </c>
      <c r="N44" s="65" t="s">
        <v>135</v>
      </c>
      <c r="O44" s="65" t="s">
        <v>135</v>
      </c>
      <c r="P44" s="98"/>
      <c r="Q44" s="65" t="s">
        <v>135</v>
      </c>
      <c r="R44" s="65" t="s">
        <v>135</v>
      </c>
      <c r="S44" s="68"/>
      <c r="T44" s="98"/>
      <c r="U44" s="98"/>
      <c r="V44" s="98"/>
    </row>
    <row r="45" spans="1:22">
      <c r="A45" s="59"/>
      <c r="B45" s="271" t="s">
        <v>587</v>
      </c>
      <c r="C45" s="65"/>
      <c r="D45" s="65"/>
      <c r="E45" s="271" t="str">
        <f t="shared" si="4"/>
        <v>UB 406x140x39</v>
      </c>
      <c r="F45" s="68">
        <v>39</v>
      </c>
      <c r="G45" s="65">
        <v>397.3</v>
      </c>
      <c r="H45" s="65">
        <v>141.80000000000001</v>
      </c>
      <c r="I45" s="65">
        <v>6.3</v>
      </c>
      <c r="J45" s="65">
        <v>8.6</v>
      </c>
      <c r="K45" s="65">
        <v>10.199999999999999</v>
      </c>
      <c r="L45" s="72">
        <f t="shared" si="1"/>
        <v>359.70000000000005</v>
      </c>
      <c r="M45" s="67">
        <v>4.92</v>
      </c>
      <c r="N45" s="65">
        <v>124</v>
      </c>
      <c r="O45" s="65">
        <v>625</v>
      </c>
      <c r="P45" s="65">
        <v>718</v>
      </c>
      <c r="Q45" s="65">
        <v>159</v>
      </c>
      <c r="R45" s="67">
        <v>4.0999999999999996</v>
      </c>
      <c r="S45" s="68">
        <f t="shared" si="3"/>
        <v>57.827926657263745</v>
      </c>
      <c r="T45" s="65">
        <v>28.9</v>
      </c>
      <c r="U45" s="65">
        <v>108</v>
      </c>
      <c r="V45" s="65">
        <v>155</v>
      </c>
    </row>
    <row r="46" spans="1:22">
      <c r="A46" s="59"/>
      <c r="B46" s="271" t="s">
        <v>588</v>
      </c>
      <c r="C46" s="65"/>
      <c r="D46" s="65"/>
      <c r="E46" s="271" t="str">
        <f t="shared" si="4"/>
        <v>UB 406x140x46</v>
      </c>
      <c r="F46" s="68">
        <v>46</v>
      </c>
      <c r="G46" s="65">
        <v>402.3</v>
      </c>
      <c r="H46" s="65">
        <v>142.4</v>
      </c>
      <c r="I46" s="65">
        <v>6.9</v>
      </c>
      <c r="J46" s="65">
        <v>11.2</v>
      </c>
      <c r="K46" s="65">
        <v>10.199999999999999</v>
      </c>
      <c r="L46" s="72">
        <f t="shared" si="1"/>
        <v>359.5</v>
      </c>
      <c r="M46" s="67">
        <v>5.9</v>
      </c>
      <c r="N46" s="65">
        <v>157</v>
      </c>
      <c r="O46" s="65">
        <v>779</v>
      </c>
      <c r="P46" s="65">
        <v>889</v>
      </c>
      <c r="Q46" s="65">
        <v>163</v>
      </c>
      <c r="R46" s="67">
        <v>5.4</v>
      </c>
      <c r="S46" s="68">
        <f t="shared" si="3"/>
        <v>75.842696629213478</v>
      </c>
      <c r="T46" s="65">
        <v>30.3</v>
      </c>
      <c r="U46" s="65">
        <v>194</v>
      </c>
      <c r="V46" s="65">
        <v>207</v>
      </c>
    </row>
    <row r="47" spans="1:22">
      <c r="A47" s="59"/>
      <c r="B47" s="271"/>
      <c r="C47" s="65"/>
      <c r="D47" s="65"/>
      <c r="E47" s="271" t="str">
        <f t="shared" si="4"/>
        <v/>
      </c>
      <c r="F47" s="68" t="s">
        <v>135</v>
      </c>
      <c r="G47" s="65" t="s">
        <v>134</v>
      </c>
      <c r="H47" s="65" t="s">
        <v>134</v>
      </c>
      <c r="I47" s="65" t="s">
        <v>135</v>
      </c>
      <c r="J47" s="65" t="s">
        <v>135</v>
      </c>
      <c r="K47" s="65" t="s">
        <v>135</v>
      </c>
      <c r="L47" s="72"/>
      <c r="M47" s="67" t="s">
        <v>135</v>
      </c>
      <c r="N47" s="65" t="s">
        <v>135</v>
      </c>
      <c r="O47" s="65" t="s">
        <v>135</v>
      </c>
      <c r="P47" s="98"/>
      <c r="Q47" s="65" t="s">
        <v>135</v>
      </c>
      <c r="R47" s="65" t="s">
        <v>135</v>
      </c>
      <c r="S47" s="68"/>
      <c r="T47" s="98"/>
      <c r="U47" s="98"/>
      <c r="V47" s="98"/>
    </row>
    <row r="48" spans="1:22">
      <c r="A48" s="59"/>
      <c r="B48" s="271" t="s">
        <v>561</v>
      </c>
      <c r="C48" s="65"/>
      <c r="D48" s="65"/>
      <c r="E48" s="271" t="str">
        <f t="shared" si="4"/>
        <v>UB 406x178x54</v>
      </c>
      <c r="F48" s="68">
        <v>54.1</v>
      </c>
      <c r="G48" s="65">
        <v>402.6</v>
      </c>
      <c r="H48" s="65">
        <v>177.6</v>
      </c>
      <c r="I48" s="65">
        <v>7.6</v>
      </c>
      <c r="J48" s="65">
        <v>10.9</v>
      </c>
      <c r="K48" s="65">
        <v>10.199999999999999</v>
      </c>
      <c r="L48" s="72">
        <f t="shared" si="1"/>
        <v>360.40000000000003</v>
      </c>
      <c r="M48" s="67">
        <v>6.86</v>
      </c>
      <c r="N48" s="65">
        <v>187</v>
      </c>
      <c r="O48" s="65">
        <v>927</v>
      </c>
      <c r="P48" s="65">
        <v>1050</v>
      </c>
      <c r="Q48" s="65">
        <v>165</v>
      </c>
      <c r="R48" s="65">
        <v>10.199999999999999</v>
      </c>
      <c r="S48" s="72">
        <f t="shared" si="3"/>
        <v>114.86486486486487</v>
      </c>
      <c r="T48" s="65">
        <v>38.6</v>
      </c>
      <c r="U48" s="65">
        <v>233</v>
      </c>
      <c r="V48" s="65">
        <v>391</v>
      </c>
    </row>
    <row r="49" spans="1:22">
      <c r="A49" s="59"/>
      <c r="B49" s="271" t="s">
        <v>560</v>
      </c>
      <c r="C49" s="65"/>
      <c r="D49" s="65"/>
      <c r="E49" s="271" t="str">
        <f t="shared" si="4"/>
        <v>UB 406x178x60</v>
      </c>
      <c r="F49" s="68">
        <v>60.1</v>
      </c>
      <c r="G49" s="65">
        <v>406.4</v>
      </c>
      <c r="H49" s="65">
        <v>177.8</v>
      </c>
      <c r="I49" s="65">
        <v>7.8</v>
      </c>
      <c r="J49" s="65">
        <v>12.8</v>
      </c>
      <c r="K49" s="65">
        <v>10.199999999999999</v>
      </c>
      <c r="L49" s="72">
        <f t="shared" si="1"/>
        <v>360.4</v>
      </c>
      <c r="M49" s="67">
        <v>7.61</v>
      </c>
      <c r="N49" s="65">
        <v>215</v>
      </c>
      <c r="O49" s="65">
        <v>1060</v>
      </c>
      <c r="P49" s="65">
        <v>1200</v>
      </c>
      <c r="Q49" s="65">
        <v>168</v>
      </c>
      <c r="R49" s="65">
        <v>12</v>
      </c>
      <c r="S49" s="72">
        <f t="shared" si="3"/>
        <v>134.98312710911136</v>
      </c>
      <c r="T49" s="65">
        <v>39.700000000000003</v>
      </c>
      <c r="U49" s="65">
        <v>332</v>
      </c>
      <c r="V49" s="65">
        <v>465</v>
      </c>
    </row>
    <row r="50" spans="1:22">
      <c r="A50" s="59"/>
      <c r="B50" s="271" t="s">
        <v>559</v>
      </c>
      <c r="C50" s="65"/>
      <c r="D50" s="65"/>
      <c r="E50" s="271" t="str">
        <f t="shared" si="4"/>
        <v>UB 406x178x67</v>
      </c>
      <c r="F50" s="68">
        <v>67.099999999999994</v>
      </c>
      <c r="G50" s="65">
        <v>409.4</v>
      </c>
      <c r="H50" s="65">
        <v>178.8</v>
      </c>
      <c r="I50" s="65">
        <v>8.8000000000000007</v>
      </c>
      <c r="J50" s="65">
        <v>14.3</v>
      </c>
      <c r="K50" s="65">
        <v>10.199999999999999</v>
      </c>
      <c r="L50" s="72">
        <f t="shared" si="1"/>
        <v>360.4</v>
      </c>
      <c r="M50" s="67">
        <v>8.5500000000000007</v>
      </c>
      <c r="N50" s="65">
        <v>243</v>
      </c>
      <c r="O50" s="65">
        <v>1190</v>
      </c>
      <c r="P50" s="65">
        <v>1350</v>
      </c>
      <c r="Q50" s="65">
        <v>169</v>
      </c>
      <c r="R50" s="65">
        <v>13.6</v>
      </c>
      <c r="S50" s="72">
        <v>153</v>
      </c>
      <c r="T50" s="65">
        <v>39.9</v>
      </c>
      <c r="U50" s="65">
        <v>465</v>
      </c>
      <c r="V50" s="65">
        <v>533</v>
      </c>
    </row>
    <row r="51" spans="1:22">
      <c r="A51" s="59"/>
      <c r="B51" s="276" t="s">
        <v>389</v>
      </c>
      <c r="C51" s="71"/>
      <c r="D51" s="71"/>
      <c r="E51" s="271" t="str">
        <f t="shared" si="4"/>
        <v>UB 406x178x74</v>
      </c>
      <c r="F51" s="68">
        <v>74.2</v>
      </c>
      <c r="G51" s="65">
        <v>412.8</v>
      </c>
      <c r="H51" s="65">
        <v>179.7</v>
      </c>
      <c r="I51" s="65">
        <v>9.6999999999999993</v>
      </c>
      <c r="J51" s="65">
        <v>16</v>
      </c>
      <c r="K51" s="65">
        <v>10.199999999999999</v>
      </c>
      <c r="L51" s="72">
        <f t="shared" si="1"/>
        <v>360.40000000000003</v>
      </c>
      <c r="M51" s="67">
        <v>9.5299999999999994</v>
      </c>
      <c r="N51" s="65">
        <v>274</v>
      </c>
      <c r="O51" s="65">
        <v>1330</v>
      </c>
      <c r="P51" s="65">
        <v>1510</v>
      </c>
      <c r="Q51" s="65">
        <v>170</v>
      </c>
      <c r="R51" s="65">
        <v>15.5</v>
      </c>
      <c r="S51" s="72">
        <f t="shared" si="3"/>
        <v>172.50973845297719</v>
      </c>
      <c r="T51" s="65">
        <v>40.299999999999997</v>
      </c>
      <c r="U51" s="65">
        <v>642</v>
      </c>
      <c r="V51" s="65">
        <v>610</v>
      </c>
    </row>
    <row r="52" spans="1:22">
      <c r="A52" s="59"/>
      <c r="B52" s="271"/>
      <c r="C52" s="65"/>
      <c r="D52" s="65"/>
      <c r="E52" s="271" t="str">
        <f t="shared" si="4"/>
        <v/>
      </c>
      <c r="F52" s="68" t="s">
        <v>135</v>
      </c>
      <c r="G52" s="65" t="s">
        <v>134</v>
      </c>
      <c r="H52" s="65" t="s">
        <v>134</v>
      </c>
      <c r="I52" s="65" t="s">
        <v>135</v>
      </c>
      <c r="J52" s="65" t="s">
        <v>135</v>
      </c>
      <c r="K52" s="65" t="s">
        <v>135</v>
      </c>
      <c r="L52" s="72"/>
      <c r="M52" s="67" t="s">
        <v>135</v>
      </c>
      <c r="N52" s="65" t="s">
        <v>135</v>
      </c>
      <c r="O52" s="65" t="s">
        <v>135</v>
      </c>
      <c r="P52" s="98"/>
      <c r="Q52" s="65" t="s">
        <v>135</v>
      </c>
      <c r="R52" s="65" t="s">
        <v>135</v>
      </c>
      <c r="S52" s="72"/>
      <c r="T52" s="98"/>
      <c r="U52" s="98"/>
      <c r="V52" s="98"/>
    </row>
    <row r="53" spans="1:22">
      <c r="A53" s="59"/>
      <c r="B53" s="271" t="s">
        <v>589</v>
      </c>
      <c r="C53" s="65"/>
      <c r="D53" s="65"/>
      <c r="E53" s="271" t="str">
        <f t="shared" si="4"/>
        <v>UB 457x191x67</v>
      </c>
      <c r="F53" s="68">
        <v>67.099999999999994</v>
      </c>
      <c r="G53" s="65">
        <v>453.6</v>
      </c>
      <c r="H53" s="65">
        <v>189.9</v>
      </c>
      <c r="I53" s="65">
        <v>8.5</v>
      </c>
      <c r="J53" s="65">
        <v>12.7</v>
      </c>
      <c r="K53" s="65">
        <v>10.199999999999999</v>
      </c>
      <c r="L53" s="72">
        <f t="shared" si="1"/>
        <v>407.8</v>
      </c>
      <c r="M53" s="67">
        <v>8.5500000000000007</v>
      </c>
      <c r="N53" s="65">
        <v>294</v>
      </c>
      <c r="O53" s="65">
        <v>1300</v>
      </c>
      <c r="P53" s="65">
        <v>1470</v>
      </c>
      <c r="Q53" s="65">
        <v>185</v>
      </c>
      <c r="R53" s="65">
        <v>14.5</v>
      </c>
      <c r="S53" s="72">
        <f t="shared" si="3"/>
        <v>152.71195365982095</v>
      </c>
      <c r="T53" s="65">
        <v>41.2</v>
      </c>
      <c r="U53" s="65">
        <v>376</v>
      </c>
      <c r="V53" s="65">
        <v>706</v>
      </c>
    </row>
    <row r="54" spans="1:22">
      <c r="A54" s="59"/>
      <c r="B54" s="276" t="s">
        <v>390</v>
      </c>
      <c r="C54" s="71"/>
      <c r="D54" s="71"/>
      <c r="E54" s="271" t="str">
        <f t="shared" si="4"/>
        <v>UB 457x191x74</v>
      </c>
      <c r="F54" s="68">
        <v>74.3</v>
      </c>
      <c r="G54" s="65">
        <v>457.2</v>
      </c>
      <c r="H54" s="65">
        <v>190.5</v>
      </c>
      <c r="I54" s="65">
        <v>9.1</v>
      </c>
      <c r="J54" s="65">
        <v>14.5</v>
      </c>
      <c r="K54" s="65">
        <v>10.199999999999999</v>
      </c>
      <c r="L54" s="72">
        <f t="shared" si="1"/>
        <v>407.8</v>
      </c>
      <c r="M54" s="67">
        <v>9.51</v>
      </c>
      <c r="N54" s="65">
        <v>334</v>
      </c>
      <c r="O54" s="65">
        <v>1460</v>
      </c>
      <c r="P54" s="65">
        <v>1660</v>
      </c>
      <c r="Q54" s="65">
        <v>187</v>
      </c>
      <c r="R54" s="65">
        <v>16.7</v>
      </c>
      <c r="S54" s="72">
        <v>176</v>
      </c>
      <c r="T54" s="65">
        <v>42</v>
      </c>
      <c r="U54" s="65">
        <v>527</v>
      </c>
      <c r="V54" s="65">
        <v>820</v>
      </c>
    </row>
    <row r="55" spans="1:22">
      <c r="A55" s="59"/>
      <c r="B55" s="271" t="s">
        <v>590</v>
      </c>
      <c r="C55" s="65"/>
      <c r="D55" s="65"/>
      <c r="E55" s="271" t="str">
        <f t="shared" si="4"/>
        <v>UB 457x191x82</v>
      </c>
      <c r="F55" s="68">
        <v>82</v>
      </c>
      <c r="G55" s="65">
        <v>460.2</v>
      </c>
      <c r="H55" s="65">
        <v>191.3</v>
      </c>
      <c r="I55" s="65">
        <v>9.9</v>
      </c>
      <c r="J55" s="65">
        <v>16</v>
      </c>
      <c r="K55" s="65">
        <v>10.199999999999999</v>
      </c>
      <c r="L55" s="72">
        <f t="shared" si="1"/>
        <v>407.8</v>
      </c>
      <c r="M55" s="65">
        <v>10.5</v>
      </c>
      <c r="N55" s="65">
        <v>371</v>
      </c>
      <c r="O55" s="65">
        <v>1610</v>
      </c>
      <c r="P55" s="65">
        <v>1830</v>
      </c>
      <c r="Q55" s="65">
        <v>188</v>
      </c>
      <c r="R55" s="65">
        <v>18.7</v>
      </c>
      <c r="S55" s="72">
        <f t="shared" si="3"/>
        <v>195.50444328280187</v>
      </c>
      <c r="T55" s="65">
        <v>42.3</v>
      </c>
      <c r="U55" s="65">
        <v>699</v>
      </c>
      <c r="V55" s="65">
        <v>923</v>
      </c>
    </row>
    <row r="56" spans="1:22">
      <c r="A56" s="59"/>
      <c r="B56" s="276" t="s">
        <v>391</v>
      </c>
      <c r="C56" s="71"/>
      <c r="D56" s="71"/>
      <c r="E56" s="271" t="str">
        <f t="shared" si="4"/>
        <v>UB 457x191x89</v>
      </c>
      <c r="F56" s="68">
        <v>89.3</v>
      </c>
      <c r="G56" s="65">
        <v>463.6</v>
      </c>
      <c r="H56" s="65">
        <v>192</v>
      </c>
      <c r="I56" s="65">
        <v>10.6</v>
      </c>
      <c r="J56" s="65">
        <v>17.7</v>
      </c>
      <c r="K56" s="65">
        <v>10.199999999999999</v>
      </c>
      <c r="L56" s="72">
        <f t="shared" si="1"/>
        <v>407.8</v>
      </c>
      <c r="M56" s="65">
        <v>11.4</v>
      </c>
      <c r="N56" s="65">
        <v>411</v>
      </c>
      <c r="O56" s="65">
        <v>1770</v>
      </c>
      <c r="P56" s="65">
        <v>2020</v>
      </c>
      <c r="Q56" s="65">
        <v>190</v>
      </c>
      <c r="R56" s="65">
        <v>20.9</v>
      </c>
      <c r="S56" s="72">
        <f t="shared" si="3"/>
        <v>217.70833333333334</v>
      </c>
      <c r="T56" s="65">
        <v>42.8</v>
      </c>
      <c r="U56" s="65">
        <v>921</v>
      </c>
      <c r="V56" s="65">
        <v>1040</v>
      </c>
    </row>
    <row r="57" spans="1:22" ht="12.75" customHeight="1">
      <c r="A57" s="58"/>
      <c r="B57" s="271" t="s">
        <v>558</v>
      </c>
      <c r="C57" s="65"/>
      <c r="D57" s="65"/>
      <c r="E57" s="271" t="str">
        <f t="shared" si="4"/>
        <v>UB 457x191x98</v>
      </c>
      <c r="F57" s="68">
        <v>98.3</v>
      </c>
      <c r="G57" s="65">
        <v>467.6</v>
      </c>
      <c r="H57" s="65">
        <v>192.8</v>
      </c>
      <c r="I57" s="65">
        <v>11.4</v>
      </c>
      <c r="J57" s="65">
        <v>19.600000000000001</v>
      </c>
      <c r="K57" s="65">
        <v>10.199999999999999</v>
      </c>
      <c r="L57" s="72">
        <f t="shared" si="1"/>
        <v>408</v>
      </c>
      <c r="M57" s="65">
        <v>12.5</v>
      </c>
      <c r="N57" s="65">
        <v>458</v>
      </c>
      <c r="O57" s="65">
        <v>1960</v>
      </c>
      <c r="P57" s="65">
        <v>2230</v>
      </c>
      <c r="Q57" s="65">
        <v>191</v>
      </c>
      <c r="R57" s="65">
        <v>23.5</v>
      </c>
      <c r="S57" s="72">
        <v>243</v>
      </c>
      <c r="T57" s="65">
        <v>43.3</v>
      </c>
      <c r="U57" s="65">
        <v>1220</v>
      </c>
      <c r="V57" s="65">
        <v>1180</v>
      </c>
    </row>
    <row r="58" spans="1:22">
      <c r="A58" s="58"/>
      <c r="B58" s="271"/>
      <c r="C58" s="65"/>
      <c r="D58" s="65"/>
      <c r="E58" s="271" t="str">
        <f t="shared" si="4"/>
        <v/>
      </c>
      <c r="F58" s="68" t="s">
        <v>135</v>
      </c>
      <c r="G58" s="65" t="s">
        <v>134</v>
      </c>
      <c r="H58" s="65" t="s">
        <v>134</v>
      </c>
      <c r="I58" s="65" t="s">
        <v>135</v>
      </c>
      <c r="J58" s="65" t="s">
        <v>135</v>
      </c>
      <c r="K58" s="65" t="s">
        <v>135</v>
      </c>
      <c r="L58" s="72"/>
      <c r="M58" s="65" t="s">
        <v>135</v>
      </c>
      <c r="N58" s="65" t="s">
        <v>135</v>
      </c>
      <c r="O58" s="65" t="s">
        <v>135</v>
      </c>
      <c r="P58" s="98"/>
      <c r="Q58" s="65" t="s">
        <v>135</v>
      </c>
      <c r="R58" s="65" t="s">
        <v>135</v>
      </c>
      <c r="S58" s="72"/>
      <c r="T58" s="98"/>
      <c r="U58" s="98"/>
      <c r="V58" s="98"/>
    </row>
    <row r="59" spans="1:22">
      <c r="A59" s="58"/>
      <c r="B59" s="271" t="s">
        <v>557</v>
      </c>
      <c r="C59" s="65"/>
      <c r="D59" s="65"/>
      <c r="E59" s="271" t="str">
        <f t="shared" si="4"/>
        <v>UB 533x210x82</v>
      </c>
      <c r="F59" s="68">
        <v>82.2</v>
      </c>
      <c r="G59" s="65">
        <v>528.29999999999995</v>
      </c>
      <c r="H59" s="65">
        <v>208.7</v>
      </c>
      <c r="I59" s="65">
        <v>9.6</v>
      </c>
      <c r="J59" s="65">
        <v>13.2</v>
      </c>
      <c r="K59" s="65">
        <v>12.7</v>
      </c>
      <c r="L59" s="72">
        <f t="shared" si="1"/>
        <v>476.49999999999994</v>
      </c>
      <c r="M59" s="65">
        <v>10.5</v>
      </c>
      <c r="N59" s="65">
        <v>475</v>
      </c>
      <c r="O59" s="65">
        <v>1800</v>
      </c>
      <c r="P59" s="65">
        <v>2060</v>
      </c>
      <c r="Q59" s="65">
        <v>213</v>
      </c>
      <c r="R59" s="68">
        <v>20</v>
      </c>
      <c r="S59" s="72">
        <f t="shared" si="3"/>
        <v>191.66267369429804</v>
      </c>
      <c r="T59" s="65">
        <v>43.8</v>
      </c>
      <c r="U59" s="65">
        <v>527</v>
      </c>
      <c r="V59" s="65">
        <v>1330</v>
      </c>
    </row>
    <row r="60" spans="1:22">
      <c r="A60" s="58"/>
      <c r="B60" s="276" t="s">
        <v>392</v>
      </c>
      <c r="C60" s="71"/>
      <c r="D60" s="71"/>
      <c r="E60" s="271" t="str">
        <f t="shared" si="4"/>
        <v>UB 533x210x92</v>
      </c>
      <c r="F60" s="68">
        <v>92.1</v>
      </c>
      <c r="G60" s="65">
        <v>533.1</v>
      </c>
      <c r="H60" s="65">
        <v>209.3</v>
      </c>
      <c r="I60" s="65">
        <v>10.199999999999999</v>
      </c>
      <c r="J60" s="65">
        <v>15.6</v>
      </c>
      <c r="K60" s="65">
        <v>12.7</v>
      </c>
      <c r="L60" s="72">
        <f t="shared" si="1"/>
        <v>476.5</v>
      </c>
      <c r="M60" s="65">
        <v>11.8</v>
      </c>
      <c r="N60" s="65">
        <v>553</v>
      </c>
      <c r="O60" s="65">
        <v>2080</v>
      </c>
      <c r="P60" s="65">
        <v>2370</v>
      </c>
      <c r="Q60" s="65">
        <v>217</v>
      </c>
      <c r="R60" s="68">
        <v>23.9</v>
      </c>
      <c r="S60" s="72">
        <f t="shared" si="3"/>
        <v>228.38031533683707</v>
      </c>
      <c r="T60" s="65">
        <v>45</v>
      </c>
      <c r="U60" s="65">
        <v>772</v>
      </c>
      <c r="V60" s="65">
        <v>1600</v>
      </c>
    </row>
    <row r="61" spans="1:22">
      <c r="A61" s="58"/>
      <c r="B61" s="271" t="s">
        <v>136</v>
      </c>
      <c r="C61" s="65"/>
      <c r="D61" s="65"/>
      <c r="E61" s="271" t="str">
        <f t="shared" si="4"/>
        <v>UB 533x210x101</v>
      </c>
      <c r="F61" s="65">
        <v>101</v>
      </c>
      <c r="G61" s="65">
        <v>536.70000000000005</v>
      </c>
      <c r="H61" s="65">
        <v>210.1</v>
      </c>
      <c r="I61" s="65">
        <v>10.9</v>
      </c>
      <c r="J61" s="65">
        <v>17.399999999999999</v>
      </c>
      <c r="K61" s="65">
        <v>12.7</v>
      </c>
      <c r="L61" s="72">
        <f t="shared" si="1"/>
        <v>476.50000000000006</v>
      </c>
      <c r="M61" s="65">
        <v>12.9</v>
      </c>
      <c r="N61" s="65">
        <v>616</v>
      </c>
      <c r="O61" s="65">
        <v>2300</v>
      </c>
      <c r="P61" s="65">
        <v>2620</v>
      </c>
      <c r="Q61" s="65">
        <v>218</v>
      </c>
      <c r="R61" s="68">
        <v>27</v>
      </c>
      <c r="S61" s="72">
        <f t="shared" si="3"/>
        <v>257.02046644455021</v>
      </c>
      <c r="T61" s="65">
        <v>45.7</v>
      </c>
      <c r="U61" s="65">
        <v>1030</v>
      </c>
      <c r="V61" s="65">
        <v>1820</v>
      </c>
    </row>
    <row r="62" spans="1:22">
      <c r="A62" s="58"/>
      <c r="B62" s="271" t="s">
        <v>137</v>
      </c>
      <c r="C62" s="65"/>
      <c r="D62" s="65"/>
      <c r="E62" s="271" t="str">
        <f t="shared" si="4"/>
        <v>UB 533x210x109</v>
      </c>
      <c r="F62" s="65">
        <v>109</v>
      </c>
      <c r="G62" s="65">
        <v>539.5</v>
      </c>
      <c r="H62" s="65">
        <v>210.7</v>
      </c>
      <c r="I62" s="65">
        <v>11.6</v>
      </c>
      <c r="J62" s="65">
        <v>18.8</v>
      </c>
      <c r="K62" s="65">
        <v>12.7</v>
      </c>
      <c r="L62" s="72">
        <f t="shared" si="1"/>
        <v>476.5</v>
      </c>
      <c r="M62" s="65">
        <v>13.9</v>
      </c>
      <c r="N62" s="65">
        <v>668</v>
      </c>
      <c r="O62" s="65">
        <v>2480</v>
      </c>
      <c r="P62" s="65">
        <v>2830</v>
      </c>
      <c r="Q62" s="65">
        <v>219</v>
      </c>
      <c r="R62" s="65">
        <v>29.4</v>
      </c>
      <c r="S62" s="72">
        <f t="shared" si="3"/>
        <v>279.06976744186051</v>
      </c>
      <c r="T62" s="65">
        <v>46</v>
      </c>
      <c r="U62" s="65">
        <v>1280</v>
      </c>
      <c r="V62" s="65">
        <v>1990</v>
      </c>
    </row>
    <row r="63" spans="1:22">
      <c r="A63" s="58"/>
      <c r="B63" s="271" t="s">
        <v>138</v>
      </c>
      <c r="C63" s="65"/>
      <c r="D63" s="65"/>
      <c r="E63" s="271" t="str">
        <f t="shared" si="4"/>
        <v>UB 533x210x122</v>
      </c>
      <c r="F63" s="65">
        <v>122</v>
      </c>
      <c r="G63" s="65">
        <v>544.6</v>
      </c>
      <c r="H63" s="65">
        <v>211.9</v>
      </c>
      <c r="I63" s="65">
        <v>12.8</v>
      </c>
      <c r="J63" s="65">
        <v>21.3</v>
      </c>
      <c r="K63" s="65">
        <v>12.7</v>
      </c>
      <c r="L63" s="72">
        <f t="shared" si="1"/>
        <v>476.6</v>
      </c>
      <c r="M63" s="65">
        <v>15.6</v>
      </c>
      <c r="N63" s="65">
        <v>762</v>
      </c>
      <c r="O63" s="65">
        <v>2800</v>
      </c>
      <c r="P63" s="65">
        <v>3200</v>
      </c>
      <c r="Q63" s="65">
        <v>221</v>
      </c>
      <c r="R63" s="65">
        <v>33.9</v>
      </c>
      <c r="S63" s="72">
        <f t="shared" si="3"/>
        <v>319.96224634261443</v>
      </c>
      <c r="T63" s="65">
        <v>46.6</v>
      </c>
      <c r="U63" s="65">
        <v>1810</v>
      </c>
      <c r="V63" s="65">
        <v>2320</v>
      </c>
    </row>
    <row r="64" spans="1:22">
      <c r="A64" s="58"/>
      <c r="C64" s="86"/>
      <c r="D64" s="86"/>
      <c r="F64" s="86"/>
      <c r="G64" s="86"/>
      <c r="H64" s="86"/>
      <c r="I64" s="86"/>
      <c r="J64" s="86"/>
      <c r="K64" s="86"/>
      <c r="L64" s="86"/>
      <c r="M64" s="86"/>
      <c r="P64" s="86"/>
      <c r="S64" s="89"/>
    </row>
    <row r="65" spans="1:24">
      <c r="A65" s="58"/>
    </row>
    <row r="66" spans="1:24" ht="23.25">
      <c r="A66" s="58"/>
      <c r="B66" s="267" t="s">
        <v>226</v>
      </c>
      <c r="C66" s="1"/>
      <c r="D66" s="1"/>
      <c r="E66" s="267"/>
      <c r="F66" s="100"/>
      <c r="G66" s="100"/>
    </row>
    <row r="67" spans="1:24" ht="18.75" customHeight="1">
      <c r="A67" s="58"/>
      <c r="B67" s="290" t="s">
        <v>139</v>
      </c>
      <c r="C67" s="132"/>
      <c r="D67" s="132"/>
      <c r="E67" s="269"/>
      <c r="F67" s="289" t="s">
        <v>48</v>
      </c>
      <c r="G67" s="289" t="s">
        <v>140</v>
      </c>
      <c r="H67" s="289" t="s">
        <v>141</v>
      </c>
      <c r="I67" s="289" t="s">
        <v>450</v>
      </c>
      <c r="J67" s="289" t="s">
        <v>451</v>
      </c>
      <c r="K67" s="289" t="s">
        <v>452</v>
      </c>
      <c r="L67" s="299" t="s">
        <v>453</v>
      </c>
      <c r="M67" s="289" t="s">
        <v>518</v>
      </c>
      <c r="N67" s="319" t="s">
        <v>235</v>
      </c>
      <c r="O67" s="289" t="s">
        <v>142</v>
      </c>
      <c r="P67" s="291" t="s">
        <v>437</v>
      </c>
      <c r="Q67" s="291"/>
      <c r="R67" s="291"/>
      <c r="S67" s="291"/>
      <c r="T67" s="291" t="s">
        <v>438</v>
      </c>
      <c r="U67" s="291"/>
      <c r="V67" s="291"/>
      <c r="W67" s="289" t="s">
        <v>419</v>
      </c>
      <c r="X67" s="289" t="s">
        <v>517</v>
      </c>
    </row>
    <row r="68" spans="1:24" ht="18.75">
      <c r="A68" s="58"/>
      <c r="B68" s="290"/>
      <c r="C68" s="132"/>
      <c r="D68" s="132"/>
      <c r="E68" s="269"/>
      <c r="F68" s="289"/>
      <c r="G68" s="289"/>
      <c r="H68" s="289"/>
      <c r="I68" s="289"/>
      <c r="J68" s="289"/>
      <c r="K68" s="289"/>
      <c r="L68" s="300"/>
      <c r="M68" s="289"/>
      <c r="N68" s="319"/>
      <c r="O68" s="289"/>
      <c r="P68" s="95" t="s">
        <v>514</v>
      </c>
      <c r="Q68" s="95" t="s">
        <v>516</v>
      </c>
      <c r="R68" s="95" t="s">
        <v>513</v>
      </c>
      <c r="S68" s="95" t="s">
        <v>515</v>
      </c>
      <c r="T68" s="95" t="s">
        <v>514</v>
      </c>
      <c r="U68" s="95" t="s">
        <v>516</v>
      </c>
      <c r="V68" s="95" t="s">
        <v>418</v>
      </c>
      <c r="W68" s="289"/>
      <c r="X68" s="289"/>
    </row>
    <row r="69" spans="1:24" s="58" customFormat="1" ht="17.25">
      <c r="B69" s="270" t="s">
        <v>144</v>
      </c>
      <c r="C69" s="128"/>
      <c r="D69" s="128"/>
      <c r="E69" s="270"/>
      <c r="F69" s="128" t="s">
        <v>47</v>
      </c>
      <c r="G69" s="128" t="s">
        <v>145</v>
      </c>
      <c r="H69" s="128" t="s">
        <v>145</v>
      </c>
      <c r="I69" s="128" t="s">
        <v>146</v>
      </c>
      <c r="J69" s="128" t="s">
        <v>146</v>
      </c>
      <c r="K69" s="128" t="s">
        <v>49</v>
      </c>
      <c r="L69" s="5" t="s">
        <v>146</v>
      </c>
      <c r="M69" s="128" t="s">
        <v>420</v>
      </c>
      <c r="N69" s="5" t="s">
        <v>50</v>
      </c>
      <c r="O69" s="128" t="s">
        <v>508</v>
      </c>
      <c r="P69" s="128" t="s">
        <v>509</v>
      </c>
      <c r="Q69" s="128" t="s">
        <v>510</v>
      </c>
      <c r="R69" s="128" t="s">
        <v>510</v>
      </c>
      <c r="S69" s="128" t="s">
        <v>146</v>
      </c>
      <c r="T69" s="128" t="s">
        <v>509</v>
      </c>
      <c r="U69" s="128" t="s">
        <v>510</v>
      </c>
      <c r="V69" s="128" t="s">
        <v>420</v>
      </c>
      <c r="W69" s="128" t="s">
        <v>511</v>
      </c>
      <c r="X69" s="128" t="s">
        <v>512</v>
      </c>
    </row>
    <row r="70" spans="1:24">
      <c r="A70" s="58"/>
      <c r="B70" s="271"/>
      <c r="C70" s="65"/>
      <c r="D70" s="65"/>
      <c r="E70" s="271"/>
      <c r="F70" s="65"/>
      <c r="G70" s="65"/>
      <c r="H70" s="65"/>
      <c r="I70" s="65"/>
      <c r="J70" s="65"/>
      <c r="K70" s="65"/>
      <c r="L70" s="65"/>
      <c r="M70" s="98"/>
      <c r="N70" s="65"/>
      <c r="O70" s="65"/>
      <c r="P70" s="65"/>
      <c r="Q70" s="65"/>
      <c r="R70" s="98"/>
      <c r="S70" s="65"/>
      <c r="T70" s="98"/>
      <c r="U70" s="98"/>
      <c r="V70" s="98"/>
      <c r="W70" s="98"/>
      <c r="X70" s="98"/>
    </row>
    <row r="71" spans="1:24" ht="12.75" customHeight="1">
      <c r="A71" s="58"/>
      <c r="B71" s="271" t="s">
        <v>147</v>
      </c>
      <c r="C71" s="65"/>
      <c r="D71" s="65"/>
      <c r="E71" s="271"/>
      <c r="F71" s="65">
        <v>52.3</v>
      </c>
      <c r="G71" s="65">
        <v>203</v>
      </c>
      <c r="H71" s="65">
        <v>152</v>
      </c>
      <c r="I71" s="65">
        <v>8.9</v>
      </c>
      <c r="J71" s="65">
        <v>16.5</v>
      </c>
      <c r="K71" s="65">
        <v>15.5</v>
      </c>
      <c r="L71" s="67">
        <v>7.6</v>
      </c>
      <c r="M71" s="65">
        <v>133</v>
      </c>
      <c r="N71" s="68">
        <v>98</v>
      </c>
      <c r="O71" s="65">
        <v>6.64</v>
      </c>
      <c r="P71" s="65">
        <v>47.8</v>
      </c>
      <c r="Q71" s="65">
        <v>471</v>
      </c>
      <c r="R71" s="65">
        <v>539</v>
      </c>
      <c r="S71" s="65">
        <v>84.8</v>
      </c>
      <c r="T71" s="65">
        <v>8.1</v>
      </c>
      <c r="U71" s="65">
        <v>107</v>
      </c>
      <c r="V71" s="65">
        <v>34.9</v>
      </c>
      <c r="W71" s="65">
        <v>667</v>
      </c>
      <c r="X71" s="65">
        <v>70.400000000000006</v>
      </c>
    </row>
    <row r="72" spans="1:24" ht="12.75" customHeight="1">
      <c r="A72" s="58"/>
      <c r="C72" s="86"/>
      <c r="D72" s="86"/>
      <c r="F72" s="86"/>
      <c r="G72" s="86"/>
      <c r="H72" s="86"/>
      <c r="I72" s="86"/>
      <c r="J72" s="86"/>
      <c r="K72" s="88"/>
      <c r="L72" s="87"/>
      <c r="M72" s="86"/>
      <c r="P72" s="86"/>
    </row>
    <row r="73" spans="1:24" ht="12.6" customHeight="1">
      <c r="A73" s="58"/>
    </row>
    <row r="74" spans="1:24" ht="23.25">
      <c r="A74" s="58"/>
      <c r="B74" s="267" t="s">
        <v>227</v>
      </c>
      <c r="C74" s="1"/>
      <c r="D74" s="1"/>
      <c r="E74" s="267"/>
      <c r="F74" s="100"/>
      <c r="G74" s="100"/>
    </row>
    <row r="75" spans="1:24" ht="23.25">
      <c r="A75" s="58"/>
      <c r="B75" s="267"/>
      <c r="C75" s="1"/>
      <c r="D75" s="1"/>
      <c r="E75" s="267"/>
      <c r="F75" s="100"/>
      <c r="G75" s="100"/>
    </row>
    <row r="76" spans="1:24" ht="15.75">
      <c r="A76" s="58"/>
      <c r="B76" s="290" t="s">
        <v>139</v>
      </c>
      <c r="C76" s="132"/>
      <c r="D76" s="132"/>
      <c r="E76" s="269"/>
      <c r="F76" s="289" t="s">
        <v>48</v>
      </c>
      <c r="G76" s="289" t="s">
        <v>140</v>
      </c>
      <c r="H76" s="289" t="s">
        <v>141</v>
      </c>
      <c r="I76" s="289" t="s">
        <v>450</v>
      </c>
      <c r="J76" s="289" t="s">
        <v>451</v>
      </c>
      <c r="K76" s="289" t="s">
        <v>452</v>
      </c>
      <c r="L76" s="289" t="s">
        <v>518</v>
      </c>
      <c r="M76" s="289" t="s">
        <v>142</v>
      </c>
      <c r="N76" s="291" t="s">
        <v>437</v>
      </c>
      <c r="O76" s="291"/>
      <c r="P76" s="291"/>
      <c r="Q76" s="291"/>
      <c r="R76" s="291" t="s">
        <v>438</v>
      </c>
      <c r="S76" s="291"/>
      <c r="T76" s="291"/>
      <c r="U76" s="289" t="s">
        <v>419</v>
      </c>
      <c r="V76" s="289" t="s">
        <v>517</v>
      </c>
    </row>
    <row r="77" spans="1:24" ht="18.75">
      <c r="A77" s="58"/>
      <c r="B77" s="290"/>
      <c r="C77" s="132"/>
      <c r="D77" s="132"/>
      <c r="E77" s="269"/>
      <c r="F77" s="289"/>
      <c r="G77" s="289"/>
      <c r="H77" s="289"/>
      <c r="I77" s="289"/>
      <c r="J77" s="289"/>
      <c r="K77" s="289"/>
      <c r="L77" s="289"/>
      <c r="M77" s="289"/>
      <c r="N77" s="95" t="s">
        <v>514</v>
      </c>
      <c r="O77" s="95" t="s">
        <v>516</v>
      </c>
      <c r="P77" s="95" t="s">
        <v>513</v>
      </c>
      <c r="Q77" s="95" t="s">
        <v>515</v>
      </c>
      <c r="R77" s="95" t="s">
        <v>514</v>
      </c>
      <c r="S77" s="95" t="s">
        <v>516</v>
      </c>
      <c r="T77" s="95" t="s">
        <v>418</v>
      </c>
      <c r="U77" s="289"/>
      <c r="V77" s="289"/>
    </row>
    <row r="78" spans="1:24" ht="17.25">
      <c r="A78" s="58"/>
      <c r="B78" s="270" t="s">
        <v>144</v>
      </c>
      <c r="C78" s="128"/>
      <c r="D78" s="128"/>
      <c r="E78" s="270"/>
      <c r="F78" s="128" t="s">
        <v>47</v>
      </c>
      <c r="G78" s="128" t="s">
        <v>145</v>
      </c>
      <c r="H78" s="128" t="s">
        <v>145</v>
      </c>
      <c r="I78" s="128" t="s">
        <v>146</v>
      </c>
      <c r="J78" s="128" t="s">
        <v>146</v>
      </c>
      <c r="K78" s="128" t="s">
        <v>49</v>
      </c>
      <c r="L78" s="128" t="s">
        <v>420</v>
      </c>
      <c r="M78" s="128" t="s">
        <v>508</v>
      </c>
      <c r="N78" s="128" t="s">
        <v>509</v>
      </c>
      <c r="O78" s="128" t="s">
        <v>510</v>
      </c>
      <c r="P78" s="128" t="s">
        <v>510</v>
      </c>
      <c r="Q78" s="128" t="s">
        <v>146</v>
      </c>
      <c r="R78" s="128" t="s">
        <v>509</v>
      </c>
      <c r="S78" s="128" t="s">
        <v>510</v>
      </c>
      <c r="T78" s="128" t="s">
        <v>420</v>
      </c>
      <c r="U78" s="128" t="s">
        <v>511</v>
      </c>
      <c r="V78" s="128" t="s">
        <v>512</v>
      </c>
    </row>
    <row r="79" spans="1:24">
      <c r="A79" s="58"/>
      <c r="B79" s="271"/>
      <c r="C79" s="65"/>
      <c r="D79" s="65"/>
      <c r="E79" s="271"/>
      <c r="F79" s="65"/>
      <c r="G79" s="65"/>
      <c r="H79" s="65"/>
      <c r="I79" s="65"/>
      <c r="J79" s="65"/>
      <c r="K79" s="65"/>
      <c r="L79" s="98"/>
      <c r="M79" s="65"/>
      <c r="N79" s="65"/>
      <c r="O79" s="65"/>
      <c r="P79" s="98"/>
      <c r="Q79" s="65"/>
      <c r="R79" s="65"/>
      <c r="S79" s="65"/>
      <c r="T79" s="98"/>
      <c r="U79" s="98"/>
      <c r="V79" s="98"/>
    </row>
    <row r="80" spans="1:24">
      <c r="A80" s="58"/>
      <c r="B80" s="271" t="s">
        <v>556</v>
      </c>
      <c r="C80" s="65"/>
      <c r="D80" s="65"/>
      <c r="E80" s="271" t="str">
        <f>IF(ISBLANK(B80),"",_xlfn.CONCAT("UC ",B80))</f>
        <v>UC 152x152x23</v>
      </c>
      <c r="F80" s="68">
        <v>23</v>
      </c>
      <c r="G80" s="65">
        <v>152.4</v>
      </c>
      <c r="H80" s="65">
        <v>152.4</v>
      </c>
      <c r="I80" s="65">
        <v>6.1</v>
      </c>
      <c r="J80" s="65">
        <v>6.8</v>
      </c>
      <c r="K80" s="65">
        <v>7.6</v>
      </c>
      <c r="L80" s="65">
        <v>124</v>
      </c>
      <c r="M80" s="65">
        <v>2.97</v>
      </c>
      <c r="N80" s="65">
        <v>12.6</v>
      </c>
      <c r="O80" s="65">
        <v>165</v>
      </c>
      <c r="P80" s="65">
        <v>184</v>
      </c>
      <c r="Q80" s="65">
        <v>65.099999999999994</v>
      </c>
      <c r="R80" s="65">
        <v>4.0199999999999996</v>
      </c>
      <c r="S80" s="65">
        <v>52.7</v>
      </c>
      <c r="T80" s="65">
        <v>36.799999999999997</v>
      </c>
      <c r="U80" s="65">
        <v>51.5</v>
      </c>
      <c r="V80" s="65">
        <v>21.3</v>
      </c>
    </row>
    <row r="81" spans="1:22">
      <c r="A81" s="58"/>
      <c r="B81" s="271" t="s">
        <v>555</v>
      </c>
      <c r="C81" s="65"/>
      <c r="D81" s="65"/>
      <c r="E81" s="271" t="str">
        <f t="shared" ref="E81:E101" si="5">IF(ISBLANK(B81),"",_xlfn.CONCAT("UC ",B81))</f>
        <v>UC 152x152x30</v>
      </c>
      <c r="F81" s="68">
        <v>30</v>
      </c>
      <c r="G81" s="65">
        <v>157.5</v>
      </c>
      <c r="H81" s="65">
        <v>152.9</v>
      </c>
      <c r="I81" s="65">
        <v>6.6</v>
      </c>
      <c r="J81" s="65">
        <v>9.4</v>
      </c>
      <c r="K81" s="65">
        <v>7.6</v>
      </c>
      <c r="L81" s="65">
        <v>123</v>
      </c>
      <c r="M81" s="65">
        <v>3.84</v>
      </c>
      <c r="N81" s="65">
        <v>17.5</v>
      </c>
      <c r="O81" s="65">
        <v>222</v>
      </c>
      <c r="P81" s="65">
        <v>248</v>
      </c>
      <c r="Q81" s="65">
        <v>67.5</v>
      </c>
      <c r="R81" s="67">
        <v>5.6</v>
      </c>
      <c r="S81" s="65">
        <v>73.3</v>
      </c>
      <c r="T81" s="65">
        <v>38.200000000000003</v>
      </c>
      <c r="U81" s="65">
        <v>108</v>
      </c>
      <c r="V81" s="65">
        <v>30.7</v>
      </c>
    </row>
    <row r="82" spans="1:22">
      <c r="A82" s="58"/>
      <c r="B82" s="271" t="s">
        <v>554</v>
      </c>
      <c r="C82" s="65"/>
      <c r="D82" s="65"/>
      <c r="E82" s="271" t="str">
        <f t="shared" si="5"/>
        <v>UC 152x152x37</v>
      </c>
      <c r="F82" s="68">
        <v>37</v>
      </c>
      <c r="G82" s="65">
        <v>161.80000000000001</v>
      </c>
      <c r="H82" s="65">
        <v>154.4</v>
      </c>
      <c r="I82" s="65">
        <v>8.1</v>
      </c>
      <c r="J82" s="65">
        <v>11.5</v>
      </c>
      <c r="K82" s="65">
        <v>7.6</v>
      </c>
      <c r="L82" s="65">
        <v>124</v>
      </c>
      <c r="M82" s="65">
        <v>4.7300000000000004</v>
      </c>
      <c r="N82" s="65">
        <v>22.1</v>
      </c>
      <c r="O82" s="65">
        <v>274</v>
      </c>
      <c r="P82" s="65">
        <v>309</v>
      </c>
      <c r="Q82" s="65">
        <v>68.400000000000006</v>
      </c>
      <c r="R82" s="65">
        <v>7.06</v>
      </c>
      <c r="S82" s="65">
        <v>91.5</v>
      </c>
      <c r="T82" s="65">
        <v>38.700000000000003</v>
      </c>
      <c r="U82" s="65">
        <v>197</v>
      </c>
      <c r="V82" s="65">
        <v>39.9</v>
      </c>
    </row>
    <row r="83" spans="1:22">
      <c r="A83" s="58"/>
      <c r="B83" s="271"/>
      <c r="C83" s="65"/>
      <c r="D83" s="65"/>
      <c r="E83" s="271" t="str">
        <f t="shared" si="5"/>
        <v/>
      </c>
      <c r="F83" s="68" t="s">
        <v>135</v>
      </c>
      <c r="G83" s="65" t="s">
        <v>134</v>
      </c>
      <c r="H83" s="65" t="s">
        <v>134</v>
      </c>
      <c r="I83" s="65" t="s">
        <v>135</v>
      </c>
      <c r="J83" s="65" t="s">
        <v>135</v>
      </c>
      <c r="K83" s="65" t="s">
        <v>135</v>
      </c>
      <c r="L83" s="98"/>
      <c r="M83" s="65" t="s">
        <v>135</v>
      </c>
      <c r="N83" s="65" t="s">
        <v>135</v>
      </c>
      <c r="O83" s="65" t="s">
        <v>135</v>
      </c>
      <c r="P83" s="98"/>
      <c r="Q83" s="65" t="s">
        <v>135</v>
      </c>
      <c r="R83" s="65" t="s">
        <v>135</v>
      </c>
      <c r="S83" s="65"/>
      <c r="T83" s="65"/>
      <c r="U83" s="65"/>
      <c r="V83" s="65"/>
    </row>
    <row r="84" spans="1:22">
      <c r="A84" s="58"/>
      <c r="B84" s="271" t="s">
        <v>553</v>
      </c>
      <c r="C84" s="65"/>
      <c r="D84" s="65"/>
      <c r="E84" s="271" t="str">
        <f t="shared" si="5"/>
        <v>UC 203x203x46</v>
      </c>
      <c r="F84" s="68">
        <v>46.1</v>
      </c>
      <c r="G84" s="65">
        <v>203.2</v>
      </c>
      <c r="H84" s="65">
        <v>203.2</v>
      </c>
      <c r="I84" s="65">
        <v>7.3</v>
      </c>
      <c r="J84" s="65">
        <v>11</v>
      </c>
      <c r="K84" s="65">
        <v>10.199999999999999</v>
      </c>
      <c r="L84" s="65">
        <v>161</v>
      </c>
      <c r="M84" s="65">
        <v>5.88</v>
      </c>
      <c r="N84" s="65">
        <v>45.6</v>
      </c>
      <c r="O84" s="65">
        <v>449</v>
      </c>
      <c r="P84" s="65">
        <v>497</v>
      </c>
      <c r="Q84" s="65">
        <v>88.1</v>
      </c>
      <c r="R84" s="65">
        <v>15.4</v>
      </c>
      <c r="S84" s="65">
        <v>151</v>
      </c>
      <c r="T84" s="65">
        <v>51.2</v>
      </c>
      <c r="U84" s="65">
        <v>225</v>
      </c>
      <c r="V84" s="65">
        <v>142</v>
      </c>
    </row>
    <row r="85" spans="1:22">
      <c r="A85" s="58"/>
      <c r="B85" s="271" t="s">
        <v>552</v>
      </c>
      <c r="C85" s="65"/>
      <c r="D85" s="65"/>
      <c r="E85" s="271" t="str">
        <f t="shared" si="5"/>
        <v>UC 203x203x52</v>
      </c>
      <c r="F85" s="68">
        <v>52</v>
      </c>
      <c r="G85" s="65">
        <v>206.2</v>
      </c>
      <c r="H85" s="65">
        <v>203.9</v>
      </c>
      <c r="I85" s="65">
        <v>8</v>
      </c>
      <c r="J85" s="65">
        <v>12.5</v>
      </c>
      <c r="K85" s="65">
        <v>10.199999999999999</v>
      </c>
      <c r="L85" s="65">
        <v>161</v>
      </c>
      <c r="M85" s="65">
        <v>6.64</v>
      </c>
      <c r="N85" s="65">
        <v>52.5</v>
      </c>
      <c r="O85" s="65">
        <v>510</v>
      </c>
      <c r="P85" s="65">
        <v>567</v>
      </c>
      <c r="Q85" s="65">
        <v>89</v>
      </c>
      <c r="R85" s="65">
        <v>17.7</v>
      </c>
      <c r="S85" s="65">
        <v>173</v>
      </c>
      <c r="T85" s="65">
        <v>51.6</v>
      </c>
      <c r="U85" s="65">
        <v>322</v>
      </c>
      <c r="V85" s="65">
        <v>166</v>
      </c>
    </row>
    <row r="86" spans="1:22">
      <c r="A86" s="58"/>
      <c r="B86" s="271" t="s">
        <v>551</v>
      </c>
      <c r="C86" s="65"/>
      <c r="D86" s="65"/>
      <c r="E86" s="271" t="str">
        <f t="shared" si="5"/>
        <v>UC 203x203x60</v>
      </c>
      <c r="F86" s="68">
        <v>60</v>
      </c>
      <c r="G86" s="65">
        <v>209.6</v>
      </c>
      <c r="H86" s="65">
        <v>205.2</v>
      </c>
      <c r="I86" s="65">
        <v>9.3000000000000007</v>
      </c>
      <c r="J86" s="65">
        <v>14.2</v>
      </c>
      <c r="K86" s="65">
        <v>10.199999999999999</v>
      </c>
      <c r="L86" s="65">
        <v>161</v>
      </c>
      <c r="M86" s="67">
        <v>7.6</v>
      </c>
      <c r="N86" s="68">
        <v>61</v>
      </c>
      <c r="O86" s="65">
        <v>582</v>
      </c>
      <c r="P86" s="65">
        <v>654</v>
      </c>
      <c r="Q86" s="65">
        <v>89.6</v>
      </c>
      <c r="R86" s="65">
        <v>20.5</v>
      </c>
      <c r="S86" s="65">
        <v>199</v>
      </c>
      <c r="T86" s="65">
        <v>51.9</v>
      </c>
      <c r="U86" s="65">
        <v>475</v>
      </c>
      <c r="V86" s="65">
        <v>195</v>
      </c>
    </row>
    <row r="87" spans="1:22">
      <c r="A87" s="58"/>
      <c r="B87" s="271" t="s">
        <v>550</v>
      </c>
      <c r="C87" s="65"/>
      <c r="D87" s="65"/>
      <c r="E87" s="271" t="str">
        <f t="shared" si="5"/>
        <v>UC 203x203x71</v>
      </c>
      <c r="F87" s="68">
        <v>71</v>
      </c>
      <c r="G87" s="65">
        <v>215.9</v>
      </c>
      <c r="H87" s="65">
        <v>206.2</v>
      </c>
      <c r="I87" s="65">
        <v>10.3</v>
      </c>
      <c r="J87" s="65">
        <v>17.3</v>
      </c>
      <c r="K87" s="65">
        <v>10.199999999999999</v>
      </c>
      <c r="L87" s="65">
        <v>161</v>
      </c>
      <c r="M87" s="65">
        <v>9.09</v>
      </c>
      <c r="N87" s="65">
        <v>76.3</v>
      </c>
      <c r="O87" s="65">
        <v>707</v>
      </c>
      <c r="P87" s="65">
        <v>801</v>
      </c>
      <c r="Q87" s="65">
        <v>91.6</v>
      </c>
      <c r="R87" s="65">
        <v>25.3</v>
      </c>
      <c r="S87" s="65">
        <v>245</v>
      </c>
      <c r="T87" s="65">
        <v>52.8</v>
      </c>
      <c r="U87" s="65">
        <v>817</v>
      </c>
      <c r="V87" s="65">
        <v>249</v>
      </c>
    </row>
    <row r="88" spans="1:22">
      <c r="A88" s="58"/>
      <c r="B88" s="271" t="s">
        <v>549</v>
      </c>
      <c r="C88" s="65"/>
      <c r="D88" s="65"/>
      <c r="E88" s="271" t="str">
        <f t="shared" si="5"/>
        <v>UC 203x203x86</v>
      </c>
      <c r="F88" s="68">
        <v>86.1</v>
      </c>
      <c r="G88" s="65">
        <v>222.3</v>
      </c>
      <c r="H88" s="65">
        <v>208.8</v>
      </c>
      <c r="I88" s="68">
        <v>13</v>
      </c>
      <c r="J88" s="65">
        <v>20.5</v>
      </c>
      <c r="K88" s="65">
        <v>10.199999999999999</v>
      </c>
      <c r="L88" s="65">
        <v>161</v>
      </c>
      <c r="M88" s="68">
        <v>11</v>
      </c>
      <c r="N88" s="65">
        <v>94.6</v>
      </c>
      <c r="O88" s="65">
        <v>851</v>
      </c>
      <c r="P88" s="65">
        <v>978</v>
      </c>
      <c r="Q88" s="65">
        <v>92.7</v>
      </c>
      <c r="R88" s="65">
        <v>31.1</v>
      </c>
      <c r="S88" s="65">
        <v>298</v>
      </c>
      <c r="T88" s="65">
        <v>53.2</v>
      </c>
      <c r="U88" s="65">
        <v>1400</v>
      </c>
      <c r="V88" s="65">
        <v>317</v>
      </c>
    </row>
    <row r="89" spans="1:22">
      <c r="A89" s="58"/>
      <c r="B89" s="271"/>
      <c r="C89" s="65"/>
      <c r="D89" s="65"/>
      <c r="E89" s="271" t="str">
        <f t="shared" si="5"/>
        <v/>
      </c>
      <c r="F89" s="68" t="s">
        <v>135</v>
      </c>
      <c r="G89" s="65" t="s">
        <v>134</v>
      </c>
      <c r="H89" s="65" t="s">
        <v>134</v>
      </c>
      <c r="I89" s="65" t="s">
        <v>135</v>
      </c>
      <c r="J89" s="65" t="s">
        <v>135</v>
      </c>
      <c r="K89" s="65" t="s">
        <v>135</v>
      </c>
      <c r="L89" s="98"/>
      <c r="M89" s="65" t="s">
        <v>135</v>
      </c>
      <c r="N89" s="65" t="s">
        <v>135</v>
      </c>
      <c r="O89" s="65" t="s">
        <v>135</v>
      </c>
      <c r="P89" s="98"/>
      <c r="Q89" s="65" t="s">
        <v>135</v>
      </c>
      <c r="R89" s="65" t="s">
        <v>135</v>
      </c>
      <c r="S89" s="65"/>
      <c r="T89" s="65"/>
      <c r="U89" s="65"/>
      <c r="V89" s="65"/>
    </row>
    <row r="90" spans="1:22">
      <c r="A90" s="58"/>
      <c r="B90" s="271" t="s">
        <v>548</v>
      </c>
      <c r="C90" s="65"/>
      <c r="D90" s="65"/>
      <c r="E90" s="271" t="str">
        <f t="shared" si="5"/>
        <v>UC 254x254x73</v>
      </c>
      <c r="F90" s="68">
        <v>73.099999999999994</v>
      </c>
      <c r="G90" s="65">
        <v>254.2</v>
      </c>
      <c r="H90" s="65">
        <v>254</v>
      </c>
      <c r="I90" s="65">
        <v>8.6</v>
      </c>
      <c r="J90" s="65">
        <v>14.2</v>
      </c>
      <c r="K90" s="65">
        <v>12.7</v>
      </c>
      <c r="L90" s="65">
        <v>200</v>
      </c>
      <c r="M90" s="65">
        <v>9.2899999999999991</v>
      </c>
      <c r="N90" s="65">
        <v>114</v>
      </c>
      <c r="O90" s="65">
        <v>896</v>
      </c>
      <c r="P90" s="65">
        <v>990</v>
      </c>
      <c r="Q90" s="65">
        <v>111</v>
      </c>
      <c r="R90" s="65">
        <v>38.799999999999997</v>
      </c>
      <c r="S90" s="65">
        <v>306</v>
      </c>
      <c r="T90" s="65">
        <v>64.599999999999994</v>
      </c>
      <c r="U90" s="65">
        <v>578</v>
      </c>
      <c r="V90" s="65">
        <v>559</v>
      </c>
    </row>
    <row r="91" spans="1:22" ht="12.75" customHeight="1">
      <c r="A91" s="58"/>
      <c r="B91" s="271" t="s">
        <v>547</v>
      </c>
      <c r="C91" s="65"/>
      <c r="D91" s="65"/>
      <c r="E91" s="271" t="str">
        <f t="shared" si="5"/>
        <v>UC 254x254x89</v>
      </c>
      <c r="F91" s="68">
        <v>88.9</v>
      </c>
      <c r="G91" s="65">
        <v>260.39999999999998</v>
      </c>
      <c r="H91" s="65">
        <v>255.9</v>
      </c>
      <c r="I91" s="65">
        <v>10.5</v>
      </c>
      <c r="J91" s="65">
        <v>17.3</v>
      </c>
      <c r="K91" s="65">
        <v>12.7</v>
      </c>
      <c r="L91" s="65">
        <v>200</v>
      </c>
      <c r="M91" s="65">
        <v>11.4</v>
      </c>
      <c r="N91" s="65">
        <v>143</v>
      </c>
      <c r="O91" s="65">
        <v>1100</v>
      </c>
      <c r="P91" s="65">
        <v>1230</v>
      </c>
      <c r="Q91" s="65">
        <v>112</v>
      </c>
      <c r="R91" s="65">
        <v>48.3</v>
      </c>
      <c r="S91" s="65">
        <v>378</v>
      </c>
      <c r="T91" s="65">
        <v>65.2</v>
      </c>
      <c r="U91" s="65">
        <v>1040</v>
      </c>
      <c r="V91" s="65">
        <v>714</v>
      </c>
    </row>
    <row r="92" spans="1:22">
      <c r="A92" s="58"/>
      <c r="B92" s="271" t="s">
        <v>148</v>
      </c>
      <c r="C92" s="65"/>
      <c r="D92" s="65"/>
      <c r="E92" s="271" t="str">
        <f t="shared" si="5"/>
        <v>UC 254x254x107</v>
      </c>
      <c r="F92" s="65">
        <v>107</v>
      </c>
      <c r="G92" s="65">
        <v>266.7</v>
      </c>
      <c r="H92" s="65">
        <v>258.3</v>
      </c>
      <c r="I92" s="68">
        <v>13</v>
      </c>
      <c r="J92" s="65">
        <v>20.5</v>
      </c>
      <c r="K92" s="65">
        <v>12.7</v>
      </c>
      <c r="L92" s="65">
        <v>200</v>
      </c>
      <c r="M92" s="65">
        <v>13.7</v>
      </c>
      <c r="N92" s="65">
        <v>175</v>
      </c>
      <c r="O92" s="65">
        <v>1310</v>
      </c>
      <c r="P92" s="65">
        <v>1480</v>
      </c>
      <c r="Q92" s="65">
        <v>113</v>
      </c>
      <c r="R92" s="65">
        <v>58.9</v>
      </c>
      <c r="S92" s="65">
        <v>456</v>
      </c>
      <c r="T92" s="65">
        <v>65.7</v>
      </c>
      <c r="U92" s="65">
        <v>1750</v>
      </c>
      <c r="V92" s="65">
        <v>893</v>
      </c>
    </row>
    <row r="93" spans="1:22">
      <c r="A93" s="58"/>
      <c r="B93" s="271" t="s">
        <v>149</v>
      </c>
      <c r="C93" s="65"/>
      <c r="D93" s="65"/>
      <c r="E93" s="271" t="str">
        <f t="shared" si="5"/>
        <v>UC 254x254x132</v>
      </c>
      <c r="F93" s="65">
        <v>132</v>
      </c>
      <c r="G93" s="65">
        <v>276.39999999999998</v>
      </c>
      <c r="H93" s="65">
        <v>261</v>
      </c>
      <c r="I93" s="65">
        <v>15.6</v>
      </c>
      <c r="J93" s="65">
        <v>25.1</v>
      </c>
      <c r="K93" s="65">
        <v>12.7</v>
      </c>
      <c r="L93" s="65">
        <v>200</v>
      </c>
      <c r="M93" s="65">
        <v>16.8</v>
      </c>
      <c r="N93" s="65">
        <v>224</v>
      </c>
      <c r="O93" s="65">
        <v>1620</v>
      </c>
      <c r="P93" s="65">
        <v>1860</v>
      </c>
      <c r="Q93" s="65">
        <v>116</v>
      </c>
      <c r="R93" s="65">
        <v>74.5</v>
      </c>
      <c r="S93" s="65">
        <v>571</v>
      </c>
      <c r="T93" s="65">
        <v>66.599999999999994</v>
      </c>
      <c r="U93" s="65">
        <v>3180</v>
      </c>
      <c r="V93" s="65">
        <v>1180</v>
      </c>
    </row>
    <row r="94" spans="1:22">
      <c r="A94" s="58"/>
      <c r="B94" s="271" t="s">
        <v>150</v>
      </c>
      <c r="C94" s="65"/>
      <c r="D94" s="65"/>
      <c r="E94" s="271" t="str">
        <f t="shared" si="5"/>
        <v>UC 254x254x167</v>
      </c>
      <c r="F94" s="65">
        <v>167</v>
      </c>
      <c r="G94" s="65">
        <v>289.10000000000002</v>
      </c>
      <c r="H94" s="65">
        <v>264.5</v>
      </c>
      <c r="I94" s="65">
        <v>19.2</v>
      </c>
      <c r="J94" s="65">
        <v>31.7</v>
      </c>
      <c r="K94" s="65">
        <v>12.7</v>
      </c>
      <c r="L94" s="65">
        <v>200</v>
      </c>
      <c r="M94" s="65">
        <v>21.2</v>
      </c>
      <c r="N94" s="65">
        <v>299</v>
      </c>
      <c r="O94" s="65">
        <v>2070</v>
      </c>
      <c r="P94" s="65">
        <v>2420</v>
      </c>
      <c r="Q94" s="65">
        <v>119</v>
      </c>
      <c r="R94" s="65">
        <v>97.9</v>
      </c>
      <c r="S94" s="65">
        <v>740</v>
      </c>
      <c r="T94" s="65">
        <v>67.900000000000006</v>
      </c>
      <c r="U94" s="65">
        <v>6340</v>
      </c>
      <c r="V94" s="65">
        <v>1620</v>
      </c>
    </row>
    <row r="95" spans="1:22">
      <c r="A95" s="58"/>
      <c r="B95" s="271"/>
      <c r="C95" s="65"/>
      <c r="D95" s="65"/>
      <c r="E95" s="271" t="str">
        <f t="shared" si="5"/>
        <v/>
      </c>
      <c r="F95" s="65" t="s">
        <v>135</v>
      </c>
      <c r="G95" s="65" t="s">
        <v>134</v>
      </c>
      <c r="H95" s="65" t="s">
        <v>134</v>
      </c>
      <c r="I95" s="65" t="s">
        <v>135</v>
      </c>
      <c r="J95" s="65" t="s">
        <v>135</v>
      </c>
      <c r="K95" s="65" t="s">
        <v>135</v>
      </c>
      <c r="L95" s="98"/>
      <c r="M95" s="65" t="s">
        <v>135</v>
      </c>
      <c r="N95" s="65" t="s">
        <v>135</v>
      </c>
      <c r="O95" s="65" t="s">
        <v>135</v>
      </c>
      <c r="P95" s="98"/>
      <c r="Q95" s="65" t="s">
        <v>135</v>
      </c>
      <c r="R95" s="65" t="s">
        <v>135</v>
      </c>
      <c r="S95" s="65"/>
      <c r="T95" s="65"/>
      <c r="U95" s="65"/>
      <c r="V95" s="65"/>
    </row>
    <row r="96" spans="1:22">
      <c r="A96" s="58"/>
      <c r="B96" s="271" t="s">
        <v>546</v>
      </c>
      <c r="C96" s="65"/>
      <c r="D96" s="65"/>
      <c r="E96" s="271" t="str">
        <f t="shared" si="5"/>
        <v>UC 305x305x97</v>
      </c>
      <c r="F96" s="65">
        <v>96.9</v>
      </c>
      <c r="G96" s="65">
        <v>307.8</v>
      </c>
      <c r="H96" s="65">
        <v>304.8</v>
      </c>
      <c r="I96" s="65">
        <v>9.9</v>
      </c>
      <c r="J96" s="65">
        <v>15.4</v>
      </c>
      <c r="K96" s="65">
        <v>15.2</v>
      </c>
      <c r="L96" s="65">
        <v>247</v>
      </c>
      <c r="M96" s="65">
        <v>12.3</v>
      </c>
      <c r="N96" s="65">
        <v>222</v>
      </c>
      <c r="O96" s="65">
        <v>1440</v>
      </c>
      <c r="P96" s="65">
        <v>1590</v>
      </c>
      <c r="Q96" s="65">
        <v>134</v>
      </c>
      <c r="R96" s="65">
        <v>72.7</v>
      </c>
      <c r="S96" s="65">
        <v>477</v>
      </c>
      <c r="T96" s="65">
        <v>76.8</v>
      </c>
      <c r="U96" s="65">
        <v>919</v>
      </c>
      <c r="V96" s="65">
        <v>1550</v>
      </c>
    </row>
    <row r="97" spans="1:26">
      <c r="A97" s="58"/>
      <c r="B97" s="271" t="s">
        <v>151</v>
      </c>
      <c r="C97" s="65"/>
      <c r="D97" s="65"/>
      <c r="E97" s="271" t="str">
        <f t="shared" si="5"/>
        <v>UC 305x305x118</v>
      </c>
      <c r="F97" s="65">
        <v>118</v>
      </c>
      <c r="G97" s="65">
        <v>314.5</v>
      </c>
      <c r="H97" s="65">
        <v>306.8</v>
      </c>
      <c r="I97" s="65">
        <v>11.9</v>
      </c>
      <c r="J97" s="65">
        <v>18.7</v>
      </c>
      <c r="K97" s="65">
        <v>15.2</v>
      </c>
      <c r="L97" s="65">
        <v>247</v>
      </c>
      <c r="M97" s="68">
        <v>15</v>
      </c>
      <c r="N97" s="65">
        <v>276</v>
      </c>
      <c r="O97" s="65">
        <v>1760</v>
      </c>
      <c r="P97" s="65">
        <v>1950</v>
      </c>
      <c r="Q97" s="65">
        <v>136</v>
      </c>
      <c r="R97" s="65">
        <v>90.1</v>
      </c>
      <c r="S97" s="65">
        <v>587</v>
      </c>
      <c r="T97" s="65">
        <v>77.599999999999994</v>
      </c>
      <c r="U97" s="65">
        <v>1620</v>
      </c>
      <c r="V97" s="65">
        <v>1970</v>
      </c>
    </row>
    <row r="98" spans="1:26">
      <c r="A98" s="58"/>
      <c r="B98" s="271" t="s">
        <v>152</v>
      </c>
      <c r="C98" s="65"/>
      <c r="D98" s="65"/>
      <c r="E98" s="271" t="str">
        <f t="shared" si="5"/>
        <v>UC 305x305x137</v>
      </c>
      <c r="F98" s="65">
        <v>137</v>
      </c>
      <c r="G98" s="65">
        <v>320.5</v>
      </c>
      <c r="H98" s="65">
        <v>308.7</v>
      </c>
      <c r="I98" s="65">
        <v>13.8</v>
      </c>
      <c r="J98" s="65">
        <v>21.7</v>
      </c>
      <c r="K98" s="65">
        <v>15.2</v>
      </c>
      <c r="L98" s="65">
        <v>247</v>
      </c>
      <c r="M98" s="65">
        <v>17.399999999999999</v>
      </c>
      <c r="N98" s="65">
        <v>328</v>
      </c>
      <c r="O98" s="65">
        <v>2040</v>
      </c>
      <c r="P98" s="65">
        <v>2290</v>
      </c>
      <c r="Q98" s="65">
        <v>137</v>
      </c>
      <c r="R98" s="65">
        <v>106</v>
      </c>
      <c r="S98" s="65">
        <v>690</v>
      </c>
      <c r="T98" s="65">
        <v>78.2</v>
      </c>
      <c r="U98" s="65">
        <v>2510</v>
      </c>
      <c r="V98" s="65">
        <v>2380</v>
      </c>
    </row>
    <row r="99" spans="1:26">
      <c r="A99" s="58"/>
      <c r="B99" s="271" t="s">
        <v>153</v>
      </c>
      <c r="C99" s="65"/>
      <c r="D99" s="65"/>
      <c r="E99" s="271" t="str">
        <f t="shared" si="5"/>
        <v>UC 305x305x158</v>
      </c>
      <c r="F99" s="65">
        <v>158</v>
      </c>
      <c r="G99" s="65">
        <v>327.2</v>
      </c>
      <c r="H99" s="65">
        <v>310.60000000000002</v>
      </c>
      <c r="I99" s="65">
        <v>15.7</v>
      </c>
      <c r="J99" s="68">
        <v>25</v>
      </c>
      <c r="K99" s="65">
        <v>15.2</v>
      </c>
      <c r="L99" s="65">
        <v>247</v>
      </c>
      <c r="M99" s="65">
        <v>20.100000000000001</v>
      </c>
      <c r="N99" s="65">
        <v>387</v>
      </c>
      <c r="O99" s="65">
        <v>2360</v>
      </c>
      <c r="P99" s="65">
        <v>2670</v>
      </c>
      <c r="Q99" s="65">
        <v>139</v>
      </c>
      <c r="R99" s="65">
        <v>125</v>
      </c>
      <c r="S99" s="65">
        <v>805</v>
      </c>
      <c r="T99" s="65">
        <v>78.900000000000006</v>
      </c>
      <c r="U99" s="65">
        <v>3810</v>
      </c>
      <c r="V99" s="65">
        <v>2850</v>
      </c>
    </row>
    <row r="100" spans="1:26">
      <c r="A100" s="58"/>
      <c r="B100" s="273" t="s">
        <v>154</v>
      </c>
      <c r="C100" s="66"/>
      <c r="D100" s="66"/>
      <c r="E100" s="273" t="str">
        <f t="shared" si="5"/>
        <v>UC 305x305x198</v>
      </c>
      <c r="F100" s="138">
        <v>198</v>
      </c>
      <c r="G100" s="66">
        <v>339.9</v>
      </c>
      <c r="H100" s="66">
        <v>314.10000000000002</v>
      </c>
      <c r="I100" s="66">
        <v>19.2</v>
      </c>
      <c r="J100" s="66">
        <v>31.4</v>
      </c>
      <c r="K100" s="66">
        <v>15.2</v>
      </c>
      <c r="L100" s="66">
        <v>247</v>
      </c>
      <c r="M100" s="66">
        <v>25.2</v>
      </c>
      <c r="N100" s="66">
        <v>509</v>
      </c>
      <c r="O100" s="66">
        <v>2990</v>
      </c>
      <c r="P100" s="66">
        <v>3440</v>
      </c>
      <c r="Q100" s="66">
        <v>142</v>
      </c>
      <c r="R100" s="66">
        <v>162</v>
      </c>
      <c r="S100" s="66">
        <v>1030</v>
      </c>
      <c r="T100" s="66">
        <v>80.2</v>
      </c>
      <c r="U100" s="66">
        <v>7440</v>
      </c>
      <c r="V100" s="66">
        <v>3860</v>
      </c>
    </row>
    <row r="101" spans="1:26">
      <c r="A101" s="58"/>
      <c r="B101" s="273" t="s">
        <v>421</v>
      </c>
      <c r="C101" s="66"/>
      <c r="D101" s="66"/>
      <c r="E101" s="273" t="str">
        <f t="shared" si="5"/>
        <v>UC 305x305x240</v>
      </c>
      <c r="F101" s="138">
        <v>240</v>
      </c>
      <c r="G101" s="66">
        <v>352.6</v>
      </c>
      <c r="H101" s="66">
        <v>317.89999999999998</v>
      </c>
      <c r="I101" s="66">
        <v>23</v>
      </c>
      <c r="J101" s="66">
        <v>37.700000000000003</v>
      </c>
      <c r="K101" s="66">
        <v>15.2</v>
      </c>
      <c r="L101" s="66">
        <v>247</v>
      </c>
      <c r="M101" s="66">
        <v>30.5</v>
      </c>
      <c r="N101" s="66">
        <v>642</v>
      </c>
      <c r="O101" s="66">
        <v>3640</v>
      </c>
      <c r="P101" s="66">
        <v>4240</v>
      </c>
      <c r="Q101" s="66">
        <v>145</v>
      </c>
      <c r="R101" s="66">
        <v>202</v>
      </c>
      <c r="S101" s="66">
        <v>1270</v>
      </c>
      <c r="T101" s="66">
        <v>81.400000000000006</v>
      </c>
      <c r="U101" s="66">
        <v>12700</v>
      </c>
      <c r="V101" s="66">
        <v>5010</v>
      </c>
    </row>
    <row r="102" spans="1:26" ht="18">
      <c r="A102" s="58"/>
      <c r="B102" s="295" t="s">
        <v>541</v>
      </c>
      <c r="C102" s="295"/>
      <c r="D102" s="295"/>
      <c r="E102" s="295"/>
      <c r="F102" s="295"/>
      <c r="G102" s="295"/>
      <c r="H102" s="295"/>
      <c r="I102" s="295"/>
      <c r="J102" s="295"/>
      <c r="K102" s="295"/>
      <c r="L102" s="86"/>
      <c r="M102" s="86"/>
      <c r="P102" s="86"/>
    </row>
    <row r="103" spans="1:26">
      <c r="A103" s="58"/>
    </row>
    <row r="104" spans="1:26" ht="23.25">
      <c r="A104" s="58"/>
      <c r="B104" s="267" t="s">
        <v>462</v>
      </c>
      <c r="C104" s="1"/>
      <c r="D104" s="1"/>
      <c r="E104" s="267"/>
    </row>
    <row r="105" spans="1:26">
      <c r="A105" s="58"/>
    </row>
    <row r="106" spans="1:26">
      <c r="A106" s="58"/>
    </row>
    <row r="107" spans="1:26" ht="21" customHeight="1">
      <c r="A107" s="58"/>
      <c r="B107" s="321" t="s">
        <v>139</v>
      </c>
      <c r="C107" s="123"/>
      <c r="D107" s="123"/>
      <c r="E107" s="274"/>
      <c r="F107" s="299" t="s">
        <v>48</v>
      </c>
      <c r="G107" s="299" t="s">
        <v>140</v>
      </c>
      <c r="H107" s="299" t="s">
        <v>141</v>
      </c>
      <c r="I107" s="299" t="s">
        <v>450</v>
      </c>
      <c r="J107" s="299" t="s">
        <v>451</v>
      </c>
      <c r="K107" s="299" t="s">
        <v>452</v>
      </c>
      <c r="L107" s="299" t="s">
        <v>453</v>
      </c>
      <c r="M107" s="299" t="s">
        <v>520</v>
      </c>
      <c r="N107" s="299" t="s">
        <v>518</v>
      </c>
      <c r="O107" s="310" t="s">
        <v>235</v>
      </c>
      <c r="P107" s="299" t="s">
        <v>142</v>
      </c>
      <c r="Q107" s="299" t="s">
        <v>521</v>
      </c>
      <c r="R107" s="299" t="s">
        <v>522</v>
      </c>
      <c r="S107" s="307" t="s">
        <v>437</v>
      </c>
      <c r="T107" s="308"/>
      <c r="U107" s="309"/>
      <c r="V107" s="307" t="s">
        <v>438</v>
      </c>
      <c r="W107" s="308"/>
      <c r="X107" s="309"/>
      <c r="Y107" s="299" t="s">
        <v>419</v>
      </c>
      <c r="Z107" s="299" t="s">
        <v>517</v>
      </c>
    </row>
    <row r="108" spans="1:26" ht="18.75" customHeight="1">
      <c r="A108" s="58"/>
      <c r="B108" s="322"/>
      <c r="C108" s="263"/>
      <c r="D108" s="263"/>
      <c r="E108" s="275"/>
      <c r="F108" s="300"/>
      <c r="G108" s="300"/>
      <c r="H108" s="300"/>
      <c r="I108" s="300"/>
      <c r="J108" s="300"/>
      <c r="K108" s="300"/>
      <c r="L108" s="300"/>
      <c r="M108" s="300"/>
      <c r="N108" s="300"/>
      <c r="O108" s="311"/>
      <c r="P108" s="300"/>
      <c r="Q108" s="300"/>
      <c r="R108" s="300"/>
      <c r="S108" s="132" t="s">
        <v>514</v>
      </c>
      <c r="T108" s="132" t="s">
        <v>516</v>
      </c>
      <c r="U108" s="132" t="s">
        <v>515</v>
      </c>
      <c r="V108" s="132" t="s">
        <v>514</v>
      </c>
      <c r="W108" s="132" t="s">
        <v>516</v>
      </c>
      <c r="X108" s="132" t="s">
        <v>418</v>
      </c>
      <c r="Y108" s="300"/>
      <c r="Z108" s="300"/>
    </row>
    <row r="109" spans="1:26" ht="17.25">
      <c r="A109" s="58"/>
      <c r="B109" s="270" t="s">
        <v>454</v>
      </c>
      <c r="C109" s="128"/>
      <c r="D109" s="128"/>
      <c r="E109" s="270"/>
      <c r="F109" s="128" t="s">
        <v>47</v>
      </c>
      <c r="G109" s="128" t="s">
        <v>145</v>
      </c>
      <c r="H109" s="128" t="s">
        <v>145</v>
      </c>
      <c r="I109" s="128" t="s">
        <v>146</v>
      </c>
      <c r="J109" s="128" t="s">
        <v>146</v>
      </c>
      <c r="K109" s="128" t="s">
        <v>49</v>
      </c>
      <c r="L109" s="5" t="s">
        <v>146</v>
      </c>
      <c r="M109" s="5" t="s">
        <v>146</v>
      </c>
      <c r="N109" s="128" t="s">
        <v>420</v>
      </c>
      <c r="O109" s="5" t="s">
        <v>50</v>
      </c>
      <c r="P109" s="128" t="s">
        <v>508</v>
      </c>
      <c r="Q109" s="5" t="s">
        <v>146</v>
      </c>
      <c r="R109" s="5" t="s">
        <v>146</v>
      </c>
      <c r="S109" s="128" t="s">
        <v>509</v>
      </c>
      <c r="T109" s="128" t="s">
        <v>510</v>
      </c>
      <c r="U109" s="128" t="s">
        <v>146</v>
      </c>
      <c r="V109" s="128" t="s">
        <v>509</v>
      </c>
      <c r="W109" s="128" t="s">
        <v>510</v>
      </c>
      <c r="X109" s="128" t="s">
        <v>420</v>
      </c>
      <c r="Y109" s="128" t="s">
        <v>523</v>
      </c>
      <c r="Z109" s="128" t="s">
        <v>512</v>
      </c>
    </row>
    <row r="110" spans="1:26" ht="15">
      <c r="A110" s="58"/>
      <c r="B110" s="301" t="s">
        <v>439</v>
      </c>
      <c r="C110" s="302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3"/>
    </row>
    <row r="111" spans="1:26" s="86" customFormat="1">
      <c r="A111" s="6"/>
      <c r="B111" s="271" t="s">
        <v>440</v>
      </c>
      <c r="C111" s="65"/>
      <c r="D111" s="65"/>
      <c r="E111" s="271"/>
      <c r="F111" s="65">
        <v>6.7</v>
      </c>
      <c r="G111" s="65">
        <v>76.2</v>
      </c>
      <c r="H111" s="65">
        <v>38.1</v>
      </c>
      <c r="I111" s="65">
        <v>5.0999999999999996</v>
      </c>
      <c r="J111" s="65">
        <v>6.8</v>
      </c>
      <c r="K111" s="65">
        <v>7.6</v>
      </c>
      <c r="L111" s="65">
        <v>2.4</v>
      </c>
      <c r="M111" s="65">
        <v>16.5</v>
      </c>
      <c r="N111" s="65">
        <v>45.8</v>
      </c>
      <c r="O111" s="65">
        <v>95</v>
      </c>
      <c r="P111" s="65">
        <v>0.85499999999999998</v>
      </c>
      <c r="Q111" s="65">
        <v>23.3</v>
      </c>
      <c r="R111" s="65">
        <v>11.9</v>
      </c>
      <c r="S111" s="65">
        <v>0.74299999999999999</v>
      </c>
      <c r="T111" s="68">
        <f>S111*1000/G111*2</f>
        <v>19.501312335958005</v>
      </c>
      <c r="U111" s="68">
        <f t="shared" ref="U111:U119" si="6">SQRT(S111*1000/P111)</f>
        <v>29.478905134913276</v>
      </c>
      <c r="V111" s="65">
        <v>0.107</v>
      </c>
      <c r="W111" s="65">
        <v>4.09</v>
      </c>
      <c r="X111" s="65">
        <v>11.2</v>
      </c>
      <c r="Y111" s="68">
        <v>12</v>
      </c>
      <c r="Z111" s="65">
        <v>8.5000000000000006E-2</v>
      </c>
    </row>
    <row r="112" spans="1:26" s="86" customFormat="1">
      <c r="A112" s="6"/>
      <c r="B112" s="271" t="s">
        <v>441</v>
      </c>
      <c r="C112" s="65"/>
      <c r="D112" s="65"/>
      <c r="E112" s="271"/>
      <c r="F112" s="65">
        <v>10.7</v>
      </c>
      <c r="G112" s="65">
        <v>100</v>
      </c>
      <c r="H112" s="65">
        <v>50</v>
      </c>
      <c r="I112" s="65">
        <v>6</v>
      </c>
      <c r="J112" s="65">
        <v>8.5</v>
      </c>
      <c r="K112" s="65">
        <v>8.5</v>
      </c>
      <c r="L112" s="65">
        <v>4.5</v>
      </c>
      <c r="M112" s="65">
        <v>25.6</v>
      </c>
      <c r="N112" s="65">
        <v>66</v>
      </c>
      <c r="O112" s="65">
        <v>94.57</v>
      </c>
      <c r="P112" s="67">
        <v>1.34</v>
      </c>
      <c r="Q112" s="65">
        <v>31.7</v>
      </c>
      <c r="R112" s="65">
        <v>15.5</v>
      </c>
      <c r="S112" s="65">
        <v>2.0499999999999998</v>
      </c>
      <c r="T112" s="68">
        <f t="shared" ref="T112:T122" si="7">S112*1000/G112*2</f>
        <v>41</v>
      </c>
      <c r="U112" s="68">
        <f t="shared" si="6"/>
        <v>39.113306511578088</v>
      </c>
      <c r="V112" s="65">
        <v>0.28999999999999998</v>
      </c>
      <c r="W112" s="65">
        <v>8.4</v>
      </c>
      <c r="X112" s="65">
        <v>14.7</v>
      </c>
      <c r="Y112" s="65">
        <v>26.8</v>
      </c>
      <c r="Z112" s="65">
        <v>0.372</v>
      </c>
    </row>
    <row r="113" spans="1:26" s="86" customFormat="1">
      <c r="A113" s="6"/>
      <c r="B113" s="271" t="s">
        <v>442</v>
      </c>
      <c r="C113" s="65"/>
      <c r="D113" s="65"/>
      <c r="E113" s="271"/>
      <c r="F113" s="65">
        <v>13.5</v>
      </c>
      <c r="G113" s="65">
        <v>120</v>
      </c>
      <c r="H113" s="65">
        <v>55</v>
      </c>
      <c r="I113" s="65">
        <v>7</v>
      </c>
      <c r="J113" s="65">
        <v>9</v>
      </c>
      <c r="K113" s="65">
        <v>9</v>
      </c>
      <c r="L113" s="65">
        <v>4.5</v>
      </c>
      <c r="M113" s="65">
        <v>27.5</v>
      </c>
      <c r="N113" s="65">
        <v>84</v>
      </c>
      <c r="O113" s="65">
        <v>94.57</v>
      </c>
      <c r="P113" s="67">
        <v>1.7</v>
      </c>
      <c r="Q113" s="65">
        <v>32.700000000000003</v>
      </c>
      <c r="R113" s="65">
        <v>16.100000000000001</v>
      </c>
      <c r="S113" s="65">
        <v>3.64</v>
      </c>
      <c r="T113" s="68">
        <f t="shared" si="7"/>
        <v>60.666666666666664</v>
      </c>
      <c r="U113" s="68">
        <f t="shared" si="6"/>
        <v>46.272848092463846</v>
      </c>
      <c r="V113" s="65">
        <v>0.43099999999999999</v>
      </c>
      <c r="W113" s="65">
        <v>11.1</v>
      </c>
      <c r="X113" s="65">
        <v>15.9</v>
      </c>
      <c r="Y113" s="65">
        <v>39.700000000000003</v>
      </c>
      <c r="Z113" s="65">
        <v>0.82599999999999996</v>
      </c>
    </row>
    <row r="114" spans="1:26" s="86" customFormat="1">
      <c r="A114" s="6"/>
      <c r="B114" s="271"/>
      <c r="C114" s="65"/>
      <c r="D114" s="65"/>
      <c r="E114" s="271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7"/>
      <c r="Q114" s="65"/>
      <c r="R114" s="65"/>
      <c r="S114" s="65"/>
      <c r="T114" s="68"/>
      <c r="U114" s="68"/>
      <c r="V114" s="65"/>
      <c r="W114" s="65"/>
      <c r="X114" s="65"/>
      <c r="Y114" s="65"/>
      <c r="Z114" s="65"/>
    </row>
    <row r="115" spans="1:26" s="86" customFormat="1">
      <c r="A115" s="6"/>
      <c r="B115" s="271" t="s">
        <v>443</v>
      </c>
      <c r="C115" s="65"/>
      <c r="D115" s="65"/>
      <c r="E115" s="271"/>
      <c r="F115" s="65">
        <v>14.9</v>
      </c>
      <c r="G115" s="65">
        <v>127</v>
      </c>
      <c r="H115" s="65">
        <v>63.5</v>
      </c>
      <c r="I115" s="65">
        <v>6.4</v>
      </c>
      <c r="J115" s="65">
        <v>9.1999999999999993</v>
      </c>
      <c r="K115" s="65">
        <v>10.7</v>
      </c>
      <c r="L115" s="65">
        <v>2.4</v>
      </c>
      <c r="M115" s="65">
        <v>28.5</v>
      </c>
      <c r="N115" s="65">
        <v>84</v>
      </c>
      <c r="O115" s="65">
        <v>95</v>
      </c>
      <c r="P115" s="67">
        <v>1.9</v>
      </c>
      <c r="Q115" s="65">
        <v>40.200000000000003</v>
      </c>
      <c r="R115" s="65">
        <v>19.399999999999999</v>
      </c>
      <c r="S115" s="65">
        <v>4.83</v>
      </c>
      <c r="T115" s="68">
        <f t="shared" si="7"/>
        <v>76.062992125984252</v>
      </c>
      <c r="U115" s="68">
        <f t="shared" si="6"/>
        <v>50.419294552362544</v>
      </c>
      <c r="V115" s="65">
        <v>0.67200000000000004</v>
      </c>
      <c r="W115" s="65">
        <v>15.2</v>
      </c>
      <c r="X115" s="65">
        <v>18.8</v>
      </c>
      <c r="Y115" s="65">
        <v>47.2</v>
      </c>
      <c r="Z115" s="65">
        <v>1.49</v>
      </c>
    </row>
    <row r="116" spans="1:26" s="86" customFormat="1">
      <c r="A116" s="6"/>
      <c r="B116" s="271" t="s">
        <v>444</v>
      </c>
      <c r="C116" s="65"/>
      <c r="D116" s="65"/>
      <c r="E116" s="271"/>
      <c r="F116" s="65">
        <v>16.2</v>
      </c>
      <c r="G116" s="65">
        <v>140</v>
      </c>
      <c r="H116" s="65">
        <v>60</v>
      </c>
      <c r="I116" s="65">
        <v>7</v>
      </c>
      <c r="J116" s="65">
        <v>10</v>
      </c>
      <c r="K116" s="65">
        <v>10</v>
      </c>
      <c r="L116" s="65">
        <v>5</v>
      </c>
      <c r="M116" s="65">
        <v>30</v>
      </c>
      <c r="N116" s="65">
        <v>100</v>
      </c>
      <c r="O116" s="65">
        <v>94.57</v>
      </c>
      <c r="P116" s="67">
        <v>2.04</v>
      </c>
      <c r="Q116" s="65">
        <v>36.4</v>
      </c>
      <c r="R116" s="65">
        <v>17.600000000000001</v>
      </c>
      <c r="S116" s="65">
        <v>6.05</v>
      </c>
      <c r="T116" s="68">
        <f t="shared" si="7"/>
        <v>86.428571428571431</v>
      </c>
      <c r="U116" s="68">
        <f t="shared" si="6"/>
        <v>54.458114863717086</v>
      </c>
      <c r="V116" s="65">
        <v>0.625</v>
      </c>
      <c r="W116" s="65">
        <v>14.7</v>
      </c>
      <c r="X116" s="65">
        <v>17.5</v>
      </c>
      <c r="Y116" s="65">
        <v>54.8</v>
      </c>
      <c r="Z116" s="65">
        <v>1.64</v>
      </c>
    </row>
    <row r="117" spans="1:26" s="86" customFormat="1">
      <c r="A117" s="6"/>
      <c r="B117" s="271" t="s">
        <v>445</v>
      </c>
      <c r="C117" s="65"/>
      <c r="D117" s="65"/>
      <c r="E117" s="271"/>
      <c r="F117" s="65">
        <v>17.899999999999999</v>
      </c>
      <c r="G117" s="65">
        <v>152.4</v>
      </c>
      <c r="H117" s="65">
        <v>76.2</v>
      </c>
      <c r="I117" s="65">
        <v>6.4</v>
      </c>
      <c r="J117" s="65">
        <v>9</v>
      </c>
      <c r="K117" s="65">
        <v>12.2</v>
      </c>
      <c r="L117" s="65">
        <v>2.4</v>
      </c>
      <c r="M117" s="65">
        <v>34.9</v>
      </c>
      <c r="N117" s="65">
        <v>106</v>
      </c>
      <c r="O117" s="65">
        <v>95</v>
      </c>
      <c r="P117" s="67">
        <v>2.2799999999999998</v>
      </c>
      <c r="Q117" s="65">
        <v>47.8</v>
      </c>
      <c r="R117" s="65">
        <v>22.1</v>
      </c>
      <c r="S117" s="65">
        <v>8.51</v>
      </c>
      <c r="T117" s="68">
        <f t="shared" si="7"/>
        <v>111.67979002624672</v>
      </c>
      <c r="U117" s="68">
        <f t="shared" si="6"/>
        <v>61.093830624301809</v>
      </c>
      <c r="V117" s="65">
        <v>1.1399999999999999</v>
      </c>
      <c r="W117" s="65">
        <v>21</v>
      </c>
      <c r="X117" s="65">
        <v>22.3</v>
      </c>
      <c r="Y117" s="65">
        <v>56.9</v>
      </c>
      <c r="Z117" s="65">
        <v>3.62</v>
      </c>
    </row>
    <row r="118" spans="1:26" s="86" customFormat="1">
      <c r="A118" s="6"/>
      <c r="B118" s="271"/>
      <c r="C118" s="65"/>
      <c r="D118" s="65"/>
      <c r="E118" s="271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7"/>
      <c r="Q118" s="65"/>
      <c r="R118" s="65"/>
      <c r="S118" s="65"/>
      <c r="T118" s="68"/>
      <c r="U118" s="68"/>
      <c r="V118" s="65"/>
      <c r="W118" s="65"/>
      <c r="X118" s="65"/>
      <c r="Y118" s="65"/>
      <c r="Z118" s="65"/>
    </row>
    <row r="119" spans="1:26" s="86" customFormat="1">
      <c r="A119" s="6"/>
      <c r="B119" s="271" t="s">
        <v>446</v>
      </c>
      <c r="C119" s="65"/>
      <c r="D119" s="65"/>
      <c r="E119" s="271"/>
      <c r="F119" s="65">
        <v>19.100000000000001</v>
      </c>
      <c r="G119" s="65">
        <v>160</v>
      </c>
      <c r="H119" s="65">
        <v>65</v>
      </c>
      <c r="I119" s="65">
        <v>7.5</v>
      </c>
      <c r="J119" s="65">
        <v>10.5</v>
      </c>
      <c r="K119" s="65">
        <v>10.5</v>
      </c>
      <c r="L119" s="65">
        <v>5.5</v>
      </c>
      <c r="M119" s="65">
        <v>32.5</v>
      </c>
      <c r="N119" s="65">
        <v>118</v>
      </c>
      <c r="O119" s="65">
        <v>94.57</v>
      </c>
      <c r="P119" s="67">
        <v>2.4</v>
      </c>
      <c r="Q119" s="65">
        <v>38.5</v>
      </c>
      <c r="R119" s="65">
        <v>18.399999999999999</v>
      </c>
      <c r="S119" s="65">
        <v>9.25</v>
      </c>
      <c r="T119" s="68">
        <f t="shared" si="7"/>
        <v>115.625</v>
      </c>
      <c r="U119" s="68">
        <f t="shared" si="6"/>
        <v>62.081935107297248</v>
      </c>
      <c r="V119" s="65">
        <v>0.85099999999999998</v>
      </c>
      <c r="W119" s="65">
        <v>18.3</v>
      </c>
      <c r="X119" s="65">
        <v>18.8</v>
      </c>
      <c r="Y119" s="65">
        <v>71.2</v>
      </c>
      <c r="Z119" s="65">
        <v>2.95</v>
      </c>
    </row>
    <row r="120" spans="1:26" s="86" customFormat="1">
      <c r="A120" s="6"/>
      <c r="B120" s="271" t="s">
        <v>447</v>
      </c>
      <c r="C120" s="65"/>
      <c r="D120" s="65"/>
      <c r="E120" s="271"/>
      <c r="F120" s="65">
        <v>14.5</v>
      </c>
      <c r="G120" s="65">
        <v>177.8</v>
      </c>
      <c r="H120" s="65">
        <v>54</v>
      </c>
      <c r="I120" s="65">
        <v>5.8</v>
      </c>
      <c r="J120" s="65">
        <v>8.3000000000000007</v>
      </c>
      <c r="K120" s="65">
        <v>8.3000000000000007</v>
      </c>
      <c r="L120" s="65">
        <v>3.2</v>
      </c>
      <c r="M120" s="65">
        <v>24.1</v>
      </c>
      <c r="N120" s="65">
        <v>143</v>
      </c>
      <c r="O120" s="65">
        <v>92</v>
      </c>
      <c r="P120" s="67">
        <v>1.85</v>
      </c>
      <c r="Q120" s="65">
        <v>29.3</v>
      </c>
      <c r="R120" s="65">
        <v>14.2</v>
      </c>
      <c r="S120" s="67">
        <v>8.6</v>
      </c>
      <c r="T120" s="68">
        <f t="shared" si="7"/>
        <v>96.737907761529797</v>
      </c>
      <c r="U120" s="68">
        <v>68.099999999999994</v>
      </c>
      <c r="V120" s="65">
        <v>0.46100000000000002</v>
      </c>
      <c r="W120" s="65">
        <v>11.6</v>
      </c>
      <c r="X120" s="65">
        <v>15.8</v>
      </c>
      <c r="Y120" s="65">
        <v>32.799999999999997</v>
      </c>
      <c r="Z120" s="65">
        <v>2.29</v>
      </c>
    </row>
    <row r="121" spans="1:26" s="86" customFormat="1">
      <c r="A121" s="6"/>
      <c r="B121" s="271" t="s">
        <v>448</v>
      </c>
      <c r="C121" s="65"/>
      <c r="D121" s="65"/>
      <c r="E121" s="271"/>
      <c r="F121" s="65">
        <v>22.3</v>
      </c>
      <c r="G121" s="65">
        <v>180</v>
      </c>
      <c r="H121" s="65">
        <v>70</v>
      </c>
      <c r="I121" s="68">
        <v>8</v>
      </c>
      <c r="J121" s="65">
        <v>11</v>
      </c>
      <c r="K121" s="65">
        <v>11</v>
      </c>
      <c r="L121" s="65">
        <v>5.5</v>
      </c>
      <c r="M121" s="65">
        <v>35</v>
      </c>
      <c r="N121" s="65">
        <v>136</v>
      </c>
      <c r="O121" s="65">
        <v>94.57</v>
      </c>
      <c r="P121" s="67">
        <v>2.8</v>
      </c>
      <c r="Q121" s="65">
        <v>40.6</v>
      </c>
      <c r="R121" s="65">
        <v>19.3</v>
      </c>
      <c r="S121" s="65">
        <v>13.5</v>
      </c>
      <c r="T121" s="68">
        <f t="shared" si="7"/>
        <v>150</v>
      </c>
      <c r="U121" s="68">
        <v>69.900000000000006</v>
      </c>
      <c r="V121" s="65">
        <v>1.1399999999999999</v>
      </c>
      <c r="W121" s="65">
        <v>22.4</v>
      </c>
      <c r="X121" s="65">
        <v>20.100000000000001</v>
      </c>
      <c r="Y121" s="65">
        <v>91.1</v>
      </c>
      <c r="Z121" s="65">
        <v>5.0599999999999996</v>
      </c>
    </row>
    <row r="122" spans="1:26" s="86" customFormat="1">
      <c r="A122" s="6"/>
      <c r="B122" s="271" t="s">
        <v>449</v>
      </c>
      <c r="C122" s="65"/>
      <c r="D122" s="65"/>
      <c r="E122" s="271"/>
      <c r="F122" s="65">
        <v>25.3</v>
      </c>
      <c r="G122" s="65">
        <v>200</v>
      </c>
      <c r="H122" s="65">
        <v>75</v>
      </c>
      <c r="I122" s="65">
        <v>8.5</v>
      </c>
      <c r="J122" s="65">
        <v>11.5</v>
      </c>
      <c r="K122" s="65">
        <v>11.5</v>
      </c>
      <c r="L122" s="65">
        <v>6</v>
      </c>
      <c r="M122" s="65">
        <v>37.5</v>
      </c>
      <c r="N122" s="65">
        <v>154</v>
      </c>
      <c r="O122" s="65">
        <v>94.57</v>
      </c>
      <c r="P122" s="67">
        <v>3.22</v>
      </c>
      <c r="Q122" s="65">
        <v>42.7</v>
      </c>
      <c r="R122" s="65">
        <v>20.100000000000001</v>
      </c>
      <c r="S122" s="65">
        <v>19.100000000000001</v>
      </c>
      <c r="T122" s="68">
        <f t="shared" si="7"/>
        <v>191</v>
      </c>
      <c r="U122" s="68">
        <v>77.099999999999994</v>
      </c>
      <c r="V122" s="65">
        <v>1.48</v>
      </c>
      <c r="W122" s="65">
        <v>26.9</v>
      </c>
      <c r="X122" s="65">
        <v>21.4</v>
      </c>
      <c r="Y122" s="65">
        <v>115</v>
      </c>
      <c r="Z122" s="65">
        <v>8.19</v>
      </c>
    </row>
    <row r="123" spans="1:26" ht="15.75">
      <c r="A123" s="58"/>
      <c r="B123" s="304" t="s">
        <v>455</v>
      </c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6"/>
    </row>
    <row r="124" spans="1:26">
      <c r="A124" s="58"/>
      <c r="B124" s="276" t="s">
        <v>456</v>
      </c>
      <c r="C124" s="71"/>
      <c r="D124" s="71"/>
      <c r="E124" s="276"/>
      <c r="F124" s="65">
        <v>10.1</v>
      </c>
      <c r="G124" s="65">
        <v>100</v>
      </c>
      <c r="H124" s="65">
        <v>50</v>
      </c>
      <c r="I124" s="72">
        <v>5</v>
      </c>
      <c r="J124" s="65">
        <v>8.4</v>
      </c>
      <c r="K124" s="65">
        <v>8.4</v>
      </c>
      <c r="L124" s="71" t="s">
        <v>519</v>
      </c>
      <c r="M124" s="71" t="s">
        <v>519</v>
      </c>
      <c r="N124" s="65">
        <v>66.400000000000006</v>
      </c>
      <c r="O124" s="71" t="s">
        <v>519</v>
      </c>
      <c r="P124" s="65">
        <v>1.29</v>
      </c>
      <c r="Q124" s="65">
        <v>34.1</v>
      </c>
      <c r="R124" s="65">
        <v>17.3</v>
      </c>
      <c r="S124" s="65">
        <v>2.0499999999999998</v>
      </c>
      <c r="T124" s="65">
        <v>41.1</v>
      </c>
      <c r="U124" s="68">
        <v>40</v>
      </c>
      <c r="V124" s="69">
        <v>0.32</v>
      </c>
      <c r="W124" s="65">
        <v>9.7799999999999994</v>
      </c>
      <c r="X124" s="65">
        <v>15.8</v>
      </c>
      <c r="Y124" s="65">
        <v>24.2</v>
      </c>
      <c r="Z124" s="69">
        <v>0.49</v>
      </c>
    </row>
    <row r="125" spans="1:26">
      <c r="A125" s="58"/>
      <c r="B125" s="276" t="s">
        <v>457</v>
      </c>
      <c r="C125" s="71"/>
      <c r="D125" s="71"/>
      <c r="E125" s="276"/>
      <c r="F125" s="65">
        <v>21.1</v>
      </c>
      <c r="G125" s="65">
        <v>180</v>
      </c>
      <c r="H125" s="65">
        <v>70</v>
      </c>
      <c r="I125" s="72">
        <v>7</v>
      </c>
      <c r="J125" s="65">
        <v>10.9</v>
      </c>
      <c r="K125" s="65">
        <v>10.9</v>
      </c>
      <c r="L125" s="71" t="s">
        <v>519</v>
      </c>
      <c r="M125" s="71" t="s">
        <v>519</v>
      </c>
      <c r="N125" s="65">
        <v>136</v>
      </c>
      <c r="O125" s="71" t="s">
        <v>519</v>
      </c>
      <c r="P125" s="65">
        <v>2.68</v>
      </c>
      <c r="Q125" s="65">
        <v>43.5</v>
      </c>
      <c r="R125" s="65">
        <v>21.5</v>
      </c>
      <c r="S125" s="65">
        <v>13.5</v>
      </c>
      <c r="T125" s="65">
        <v>150</v>
      </c>
      <c r="U125" s="68">
        <v>71</v>
      </c>
      <c r="V125" s="65">
        <v>1.27</v>
      </c>
      <c r="W125" s="65">
        <v>26.2</v>
      </c>
      <c r="X125" s="65">
        <v>21.8</v>
      </c>
      <c r="Y125" s="65">
        <v>82.3</v>
      </c>
      <c r="Z125" s="65">
        <v>6.52</v>
      </c>
    </row>
    <row r="126" spans="1:26">
      <c r="A126" s="58"/>
      <c r="B126" s="276" t="s">
        <v>458</v>
      </c>
      <c r="C126" s="71"/>
      <c r="D126" s="71"/>
      <c r="E126" s="276"/>
      <c r="F126" s="65">
        <v>24.3</v>
      </c>
      <c r="G126" s="65">
        <v>200</v>
      </c>
      <c r="H126" s="65">
        <v>75</v>
      </c>
      <c r="I126" s="68">
        <v>7.5</v>
      </c>
      <c r="J126" s="65">
        <v>11.4</v>
      </c>
      <c r="K126" s="65">
        <v>11.4</v>
      </c>
      <c r="L126" s="71" t="s">
        <v>519</v>
      </c>
      <c r="M126" s="71" t="s">
        <v>519</v>
      </c>
      <c r="N126" s="65">
        <v>154</v>
      </c>
      <c r="O126" s="71" t="s">
        <v>519</v>
      </c>
      <c r="P126" s="65">
        <v>3.09</v>
      </c>
      <c r="Q126" s="65">
        <v>45.7</v>
      </c>
      <c r="R126" s="65">
        <v>22.5</v>
      </c>
      <c r="S126" s="65">
        <v>19.100000000000001</v>
      </c>
      <c r="T126" s="65">
        <v>191</v>
      </c>
      <c r="U126" s="65">
        <v>78.599999999999994</v>
      </c>
      <c r="V126" s="65">
        <v>1.67</v>
      </c>
      <c r="W126" s="65">
        <v>31.8</v>
      </c>
      <c r="X126" s="65">
        <v>23.2</v>
      </c>
      <c r="Y126" s="65">
        <v>104</v>
      </c>
      <c r="Z126" s="65">
        <v>10.6</v>
      </c>
    </row>
    <row r="127" spans="1:26">
      <c r="A127" s="58"/>
      <c r="B127" s="271"/>
      <c r="C127" s="65"/>
      <c r="D127" s="65"/>
      <c r="E127" s="271"/>
      <c r="F127" s="98"/>
      <c r="G127" s="65"/>
      <c r="H127" s="65"/>
      <c r="I127" s="68"/>
      <c r="J127" s="65"/>
      <c r="K127" s="65"/>
      <c r="L127" s="71"/>
      <c r="M127" s="71"/>
      <c r="N127" s="65"/>
      <c r="O127" s="71"/>
      <c r="P127" s="65"/>
      <c r="Q127" s="98"/>
      <c r="R127" s="98"/>
      <c r="S127" s="65"/>
      <c r="T127" s="65"/>
      <c r="U127" s="65"/>
      <c r="V127" s="65"/>
      <c r="W127" s="98"/>
      <c r="X127" s="98"/>
      <c r="Y127" s="98"/>
      <c r="Z127" s="98"/>
    </row>
    <row r="128" spans="1:26">
      <c r="A128" s="58"/>
      <c r="B128" s="276" t="s">
        <v>459</v>
      </c>
      <c r="C128" s="71"/>
      <c r="D128" s="71"/>
      <c r="E128" s="276"/>
      <c r="F128" s="65">
        <v>32.200000000000003</v>
      </c>
      <c r="G128" s="65">
        <v>230</v>
      </c>
      <c r="H128" s="65">
        <v>90</v>
      </c>
      <c r="I128" s="68">
        <v>7.5</v>
      </c>
      <c r="J128" s="65">
        <v>14</v>
      </c>
      <c r="K128" s="65">
        <v>12</v>
      </c>
      <c r="L128" s="71" t="s">
        <v>519</v>
      </c>
      <c r="M128" s="71" t="s">
        <v>519</v>
      </c>
      <c r="N128" s="65">
        <v>178</v>
      </c>
      <c r="O128" s="71" t="s">
        <v>519</v>
      </c>
      <c r="P128" s="65">
        <v>4.0999999999999996</v>
      </c>
      <c r="Q128" s="65">
        <v>60</v>
      </c>
      <c r="R128" s="65">
        <v>29.2</v>
      </c>
      <c r="S128" s="65">
        <v>35.200000000000003</v>
      </c>
      <c r="T128" s="65">
        <v>306</v>
      </c>
      <c r="U128" s="65">
        <v>92.7</v>
      </c>
      <c r="V128" s="65">
        <v>3.34</v>
      </c>
      <c r="W128" s="68">
        <v>55</v>
      </c>
      <c r="X128" s="65">
        <v>28.6</v>
      </c>
      <c r="Y128" s="65">
        <v>193</v>
      </c>
      <c r="Z128" s="65">
        <v>27.9</v>
      </c>
    </row>
    <row r="129" spans="1:26">
      <c r="A129" s="58"/>
      <c r="B129" s="277" t="s">
        <v>460</v>
      </c>
      <c r="C129" s="73"/>
      <c r="D129" s="73"/>
      <c r="E129" s="277"/>
      <c r="F129" s="70">
        <v>34.799999999999997</v>
      </c>
      <c r="G129" s="70">
        <v>260</v>
      </c>
      <c r="H129" s="70">
        <v>90</v>
      </c>
      <c r="I129" s="130">
        <v>8</v>
      </c>
      <c r="J129" s="70">
        <v>14</v>
      </c>
      <c r="K129" s="70">
        <v>12</v>
      </c>
      <c r="L129" s="71" t="s">
        <v>519</v>
      </c>
      <c r="M129" s="71" t="s">
        <v>519</v>
      </c>
      <c r="N129" s="65">
        <v>208</v>
      </c>
      <c r="O129" s="71" t="s">
        <v>519</v>
      </c>
      <c r="P129" s="70">
        <v>4.4400000000000004</v>
      </c>
      <c r="Q129" s="65">
        <v>56.6</v>
      </c>
      <c r="R129" s="65">
        <v>27.4</v>
      </c>
      <c r="S129" s="70">
        <v>47.3</v>
      </c>
      <c r="T129" s="70">
        <v>364</v>
      </c>
      <c r="U129" s="70">
        <v>103</v>
      </c>
      <c r="V129" s="70">
        <v>3.53</v>
      </c>
      <c r="W129" s="65">
        <v>56.3</v>
      </c>
      <c r="X129" s="65">
        <v>28.2</v>
      </c>
      <c r="Y129" s="65">
        <v>206</v>
      </c>
      <c r="Z129" s="68">
        <v>38</v>
      </c>
    </row>
    <row r="130" spans="1:26">
      <c r="A130" s="58"/>
      <c r="B130" s="277" t="s">
        <v>461</v>
      </c>
      <c r="C130" s="73"/>
      <c r="D130" s="73"/>
      <c r="E130" s="277"/>
      <c r="F130" s="70">
        <v>45.3</v>
      </c>
      <c r="G130" s="70">
        <v>300</v>
      </c>
      <c r="H130" s="70">
        <v>100</v>
      </c>
      <c r="I130" s="130">
        <v>9</v>
      </c>
      <c r="J130" s="70">
        <v>16.5</v>
      </c>
      <c r="K130" s="70">
        <v>12</v>
      </c>
      <c r="L130" s="71" t="s">
        <v>519</v>
      </c>
      <c r="M130" s="71" t="s">
        <v>519</v>
      </c>
      <c r="N130" s="65">
        <v>243</v>
      </c>
      <c r="O130" s="71" t="s">
        <v>519</v>
      </c>
      <c r="P130" s="70">
        <v>5.76</v>
      </c>
      <c r="Q130" s="65">
        <v>63.1</v>
      </c>
      <c r="R130" s="65">
        <v>30.6</v>
      </c>
      <c r="S130" s="70">
        <v>81.7</v>
      </c>
      <c r="T130" s="70">
        <v>545</v>
      </c>
      <c r="U130" s="70">
        <v>119</v>
      </c>
      <c r="V130" s="70">
        <v>5.67</v>
      </c>
      <c r="W130" s="65">
        <v>81.7</v>
      </c>
      <c r="X130" s="65">
        <v>31.4</v>
      </c>
      <c r="Y130" s="65">
        <v>358</v>
      </c>
      <c r="Z130" s="68">
        <v>81</v>
      </c>
    </row>
    <row r="131" spans="1:26">
      <c r="A131" s="58"/>
    </row>
    <row r="132" spans="1:26">
      <c r="A132" s="58"/>
    </row>
    <row r="133" spans="1:26" ht="23.25">
      <c r="A133" s="58"/>
      <c r="B133" s="267" t="s">
        <v>228</v>
      </c>
      <c r="C133" s="1"/>
      <c r="D133" s="1"/>
      <c r="E133" s="267"/>
    </row>
    <row r="134" spans="1:26" ht="12.75" customHeight="1">
      <c r="A134" s="58"/>
      <c r="B134" s="290" t="s">
        <v>139</v>
      </c>
      <c r="C134" s="132"/>
      <c r="D134" s="132"/>
      <c r="E134" s="269"/>
      <c r="F134" s="289" t="s">
        <v>48</v>
      </c>
      <c r="G134" s="289" t="s">
        <v>452</v>
      </c>
      <c r="H134" s="289" t="s">
        <v>453</v>
      </c>
      <c r="I134" s="289" t="s">
        <v>142</v>
      </c>
      <c r="J134" s="289" t="s">
        <v>524</v>
      </c>
      <c r="K134" s="320" t="s">
        <v>535</v>
      </c>
      <c r="L134" s="291"/>
      <c r="M134" s="291"/>
      <c r="N134" s="320" t="s">
        <v>525</v>
      </c>
      <c r="O134" s="291"/>
      <c r="P134" s="291"/>
      <c r="Q134" s="320" t="s">
        <v>526</v>
      </c>
      <c r="R134" s="291"/>
      <c r="S134" s="289" t="s">
        <v>419</v>
      </c>
    </row>
    <row r="135" spans="1:26" ht="18.75">
      <c r="A135" s="58"/>
      <c r="B135" s="290"/>
      <c r="C135" s="132"/>
      <c r="D135" s="132"/>
      <c r="E135" s="269"/>
      <c r="F135" s="289"/>
      <c r="G135" s="289"/>
      <c r="H135" s="289"/>
      <c r="I135" s="289"/>
      <c r="J135" s="289"/>
      <c r="K135" s="95" t="s">
        <v>514</v>
      </c>
      <c r="L135" s="95" t="s">
        <v>516</v>
      </c>
      <c r="M135" s="95" t="s">
        <v>515</v>
      </c>
      <c r="N135" s="95" t="s">
        <v>514</v>
      </c>
      <c r="O135" s="95" t="s">
        <v>516</v>
      </c>
      <c r="P135" s="95" t="s">
        <v>418</v>
      </c>
      <c r="Q135" s="95" t="s">
        <v>527</v>
      </c>
      <c r="R135" s="132" t="s">
        <v>418</v>
      </c>
      <c r="S135" s="289"/>
    </row>
    <row r="136" spans="1:26" ht="17.25">
      <c r="A136" s="58"/>
      <c r="B136" s="270" t="s">
        <v>528</v>
      </c>
      <c r="C136" s="128"/>
      <c r="D136" s="128"/>
      <c r="E136" s="270"/>
      <c r="F136" s="128" t="s">
        <v>47</v>
      </c>
      <c r="G136" s="128" t="s">
        <v>49</v>
      </c>
      <c r="H136" s="5" t="s">
        <v>146</v>
      </c>
      <c r="I136" s="128" t="s">
        <v>508</v>
      </c>
      <c r="J136" s="5" t="s">
        <v>420</v>
      </c>
      <c r="K136" s="128" t="s">
        <v>509</v>
      </c>
      <c r="L136" s="128" t="s">
        <v>510</v>
      </c>
      <c r="M136" s="128" t="s">
        <v>146</v>
      </c>
      <c r="N136" s="128" t="s">
        <v>509</v>
      </c>
      <c r="O136" s="128" t="s">
        <v>510</v>
      </c>
      <c r="P136" s="128" t="s">
        <v>420</v>
      </c>
      <c r="Q136" s="5" t="s">
        <v>232</v>
      </c>
      <c r="R136" s="5" t="s">
        <v>420</v>
      </c>
      <c r="S136" s="128" t="s">
        <v>523</v>
      </c>
    </row>
    <row r="137" spans="1:26">
      <c r="A137" s="58"/>
      <c r="B137" s="271"/>
      <c r="C137" s="65" t="str">
        <f>TRIM(B137)</f>
        <v/>
      </c>
      <c r="D137" s="65" t="b">
        <f>C137=""</f>
        <v>1</v>
      </c>
      <c r="E137" s="271" t="str">
        <f>IF(D137,"",_xlfn.CONCAT("EA ",C137))</f>
        <v/>
      </c>
      <c r="F137" s="65"/>
      <c r="G137" s="65"/>
      <c r="H137" s="65"/>
      <c r="I137" s="65"/>
      <c r="J137" s="98"/>
      <c r="K137" s="65"/>
      <c r="L137" s="65"/>
      <c r="M137" s="65"/>
      <c r="N137" s="65"/>
      <c r="O137" s="65"/>
      <c r="P137" s="65"/>
      <c r="Q137" s="65"/>
      <c r="R137" s="98"/>
      <c r="S137" s="65"/>
    </row>
    <row r="138" spans="1:26">
      <c r="A138" s="58"/>
      <c r="B138" s="271" t="s">
        <v>155</v>
      </c>
      <c r="C138" s="65" t="str">
        <f t="shared" ref="C138:C194" si="8">TRIM(B138)</f>
        <v>25x25x3</v>
      </c>
      <c r="D138" s="65" t="b">
        <f t="shared" ref="D138:D195" si="9">C138=""</f>
        <v>0</v>
      </c>
      <c r="E138" s="271" t="str">
        <f>IF(D138,"",_xlfn.CONCAT("L ",C138))</f>
        <v>L 25x25x3</v>
      </c>
      <c r="F138" s="65">
        <v>1.1100000000000001</v>
      </c>
      <c r="G138" s="65">
        <v>3.5</v>
      </c>
      <c r="H138" s="65">
        <v>2</v>
      </c>
      <c r="I138" s="65">
        <v>0.14199999999999999</v>
      </c>
      <c r="J138" s="65">
        <v>7.21</v>
      </c>
      <c r="K138" s="65">
        <v>8.0000000000000002E-3</v>
      </c>
      <c r="L138" s="65">
        <v>0.44800000000000001</v>
      </c>
      <c r="M138" s="65">
        <v>7.49</v>
      </c>
      <c r="N138" s="65">
        <v>1.2999999999999999E-2</v>
      </c>
      <c r="O138" s="65">
        <v>0.71399999999999997</v>
      </c>
      <c r="P138" s="65">
        <v>9.43</v>
      </c>
      <c r="Q138" s="65">
        <v>3.0000000000000001E-3</v>
      </c>
      <c r="R138" s="65">
        <v>4.83</v>
      </c>
      <c r="S138" s="65">
        <v>0.47599999999999998</v>
      </c>
    </row>
    <row r="139" spans="1:26">
      <c r="A139" s="58"/>
      <c r="B139" s="271" t="s">
        <v>156</v>
      </c>
      <c r="C139" s="65" t="str">
        <f t="shared" si="8"/>
        <v>25x25x5</v>
      </c>
      <c r="D139" s="65" t="b">
        <f t="shared" si="9"/>
        <v>0</v>
      </c>
      <c r="E139" s="271" t="str">
        <f t="shared" ref="E139:E194" si="10">IF(D139,"",_xlfn.CONCAT("L ",C139))</f>
        <v>L 25x25x5</v>
      </c>
      <c r="F139" s="65">
        <v>1.77</v>
      </c>
      <c r="G139" s="65">
        <v>3.5</v>
      </c>
      <c r="H139" s="65">
        <v>2</v>
      </c>
      <c r="I139" s="65">
        <v>0.22600000000000001</v>
      </c>
      <c r="J139" s="65">
        <v>7.98</v>
      </c>
      <c r="K139" s="65">
        <v>1.2E-2</v>
      </c>
      <c r="L139" s="65">
        <v>0.70799999999999996</v>
      </c>
      <c r="M139" s="67">
        <v>7.3</v>
      </c>
      <c r="N139" s="65">
        <v>1.9E-2</v>
      </c>
      <c r="O139" s="65">
        <v>1.07</v>
      </c>
      <c r="P139" s="65">
        <v>9.14</v>
      </c>
      <c r="Q139" s="65">
        <v>5.0000000000000001E-3</v>
      </c>
      <c r="R139" s="67">
        <v>4.8</v>
      </c>
      <c r="S139" s="65">
        <v>1.98</v>
      </c>
    </row>
    <row r="140" spans="1:26">
      <c r="A140" s="58"/>
      <c r="B140" s="271" t="s">
        <v>133</v>
      </c>
      <c r="C140" s="65" t="str">
        <f t="shared" si="8"/>
        <v/>
      </c>
      <c r="D140" s="65" t="b">
        <f t="shared" si="9"/>
        <v>1</v>
      </c>
      <c r="E140" s="271" t="str">
        <f t="shared" si="10"/>
        <v/>
      </c>
      <c r="F140" s="65" t="s">
        <v>135</v>
      </c>
      <c r="G140" s="65" t="s">
        <v>135</v>
      </c>
      <c r="H140" s="65" t="s">
        <v>135</v>
      </c>
      <c r="I140" s="65" t="s">
        <v>135</v>
      </c>
      <c r="J140" s="98"/>
      <c r="K140" s="65" t="s">
        <v>135</v>
      </c>
      <c r="L140" s="65" t="s">
        <v>135</v>
      </c>
      <c r="M140" s="65" t="s">
        <v>135</v>
      </c>
      <c r="N140" s="65" t="s">
        <v>135</v>
      </c>
      <c r="O140" s="65" t="s">
        <v>135</v>
      </c>
      <c r="P140" s="65" t="s">
        <v>135</v>
      </c>
      <c r="Q140" s="65" t="s">
        <v>135</v>
      </c>
      <c r="R140" s="98"/>
      <c r="S140" s="65"/>
    </row>
    <row r="141" spans="1:26" ht="12.75" customHeight="1">
      <c r="A141" s="59"/>
      <c r="B141" s="271" t="s">
        <v>157</v>
      </c>
      <c r="C141" s="65" t="str">
        <f t="shared" si="8"/>
        <v>30x30x3</v>
      </c>
      <c r="D141" s="65" t="b">
        <f t="shared" si="9"/>
        <v>0</v>
      </c>
      <c r="E141" s="271" t="str">
        <f t="shared" si="10"/>
        <v>L 30x30x3</v>
      </c>
      <c r="F141" s="65">
        <v>1.36</v>
      </c>
      <c r="G141" s="65">
        <v>5</v>
      </c>
      <c r="H141" s="65">
        <v>2.5</v>
      </c>
      <c r="I141" s="65">
        <v>0.17399999999999999</v>
      </c>
      <c r="J141" s="65">
        <v>8.35</v>
      </c>
      <c r="K141" s="65">
        <v>1.4E-2</v>
      </c>
      <c r="L141" s="65">
        <v>0.64900000000000002</v>
      </c>
      <c r="M141" s="65">
        <v>8.99</v>
      </c>
      <c r="N141" s="65">
        <v>2.1999999999999999E-2</v>
      </c>
      <c r="O141" s="65">
        <v>1.05</v>
      </c>
      <c r="P141" s="65">
        <v>11.3</v>
      </c>
      <c r="Q141" s="65">
        <v>6.0000000000000001E-3</v>
      </c>
      <c r="R141" s="65">
        <v>5.81</v>
      </c>
      <c r="S141" s="65">
        <v>0.63500000000000001</v>
      </c>
    </row>
    <row r="142" spans="1:26">
      <c r="A142" s="59"/>
      <c r="B142" s="271" t="s">
        <v>158</v>
      </c>
      <c r="C142" s="65" t="str">
        <f t="shared" si="8"/>
        <v>30x30x5</v>
      </c>
      <c r="D142" s="65" t="b">
        <f t="shared" si="9"/>
        <v>0</v>
      </c>
      <c r="E142" s="271" t="str">
        <f t="shared" si="10"/>
        <v>L 30x30x5</v>
      </c>
      <c r="F142" s="65">
        <v>2.1800000000000002</v>
      </c>
      <c r="G142" s="65">
        <v>5</v>
      </c>
      <c r="H142" s="65">
        <v>2.5</v>
      </c>
      <c r="I142" s="65">
        <v>0.27800000000000002</v>
      </c>
      <c r="J142" s="65">
        <v>9.18</v>
      </c>
      <c r="K142" s="65">
        <v>2.1999999999999999E-2</v>
      </c>
      <c r="L142" s="65">
        <v>1.04</v>
      </c>
      <c r="M142" s="65">
        <v>8.83</v>
      </c>
      <c r="N142" s="65">
        <v>3.4000000000000002E-2</v>
      </c>
      <c r="O142" s="65">
        <v>1.61</v>
      </c>
      <c r="P142" s="65">
        <v>11.1</v>
      </c>
      <c r="Q142" s="65">
        <v>8.9999999999999993E-3</v>
      </c>
      <c r="R142" s="65">
        <v>5.75</v>
      </c>
      <c r="S142" s="65">
        <v>2.58</v>
      </c>
    </row>
    <row r="143" spans="1:26">
      <c r="A143" s="59"/>
      <c r="B143" s="271" t="s">
        <v>133</v>
      </c>
      <c r="C143" s="65" t="str">
        <f t="shared" si="8"/>
        <v/>
      </c>
      <c r="D143" s="65" t="b">
        <f t="shared" si="9"/>
        <v>1</v>
      </c>
      <c r="E143" s="271" t="str">
        <f t="shared" si="10"/>
        <v/>
      </c>
      <c r="F143" s="65" t="s">
        <v>135</v>
      </c>
      <c r="G143" s="65" t="s">
        <v>135</v>
      </c>
      <c r="H143" s="65" t="s">
        <v>135</v>
      </c>
      <c r="I143" s="65" t="s">
        <v>135</v>
      </c>
      <c r="J143" s="98"/>
      <c r="K143" s="65" t="s">
        <v>135</v>
      </c>
      <c r="L143" s="65" t="s">
        <v>135</v>
      </c>
      <c r="M143" s="65" t="s">
        <v>135</v>
      </c>
      <c r="N143" s="65" t="s">
        <v>135</v>
      </c>
      <c r="O143" s="65" t="s">
        <v>135</v>
      </c>
      <c r="P143" s="65" t="s">
        <v>135</v>
      </c>
      <c r="Q143" s="65" t="s">
        <v>135</v>
      </c>
      <c r="R143" s="98"/>
      <c r="S143" s="65"/>
    </row>
    <row r="144" spans="1:26">
      <c r="A144" s="59"/>
      <c r="B144" s="271" t="s">
        <v>159</v>
      </c>
      <c r="C144" s="65" t="str">
        <f t="shared" si="8"/>
        <v>40x40x3</v>
      </c>
      <c r="D144" s="65" t="b">
        <f t="shared" si="9"/>
        <v>0</v>
      </c>
      <c r="E144" s="271" t="str">
        <f t="shared" si="10"/>
        <v>L 40x40x3</v>
      </c>
      <c r="F144" s="65">
        <v>1.87</v>
      </c>
      <c r="G144" s="65">
        <v>6</v>
      </c>
      <c r="H144" s="65">
        <v>3</v>
      </c>
      <c r="I144" s="65">
        <v>0.23499999999999999</v>
      </c>
      <c r="J144" s="65">
        <v>10.7</v>
      </c>
      <c r="K144" s="65">
        <v>3.5000000000000003E-2</v>
      </c>
      <c r="L144" s="65">
        <v>1.18</v>
      </c>
      <c r="M144" s="65">
        <v>12.1</v>
      </c>
      <c r="N144" s="65">
        <v>5.5E-2</v>
      </c>
      <c r="O144" s="65">
        <v>1.93</v>
      </c>
      <c r="P144" s="65">
        <v>15.3</v>
      </c>
      <c r="Q144" s="65">
        <v>1.4E-2</v>
      </c>
      <c r="R144" s="65">
        <v>7.84</v>
      </c>
      <c r="S144" s="65">
        <v>0.88200000000000001</v>
      </c>
    </row>
    <row r="145" spans="1:19">
      <c r="A145" s="59"/>
      <c r="B145" s="271" t="s">
        <v>160</v>
      </c>
      <c r="C145" s="65" t="str">
        <f t="shared" si="8"/>
        <v>40x40x4</v>
      </c>
      <c r="D145" s="65" t="b">
        <f t="shared" si="9"/>
        <v>0</v>
      </c>
      <c r="E145" s="271" t="str">
        <f t="shared" si="10"/>
        <v>L 40x40x4</v>
      </c>
      <c r="F145" s="65">
        <v>2.42</v>
      </c>
      <c r="G145" s="65">
        <v>6</v>
      </c>
      <c r="H145" s="65">
        <v>3</v>
      </c>
      <c r="I145" s="65">
        <v>0.308</v>
      </c>
      <c r="J145" s="65">
        <v>11.2</v>
      </c>
      <c r="K145" s="65">
        <v>4.4999999999999998E-2</v>
      </c>
      <c r="L145" s="65">
        <v>1.55</v>
      </c>
      <c r="M145" s="65">
        <v>12.1</v>
      </c>
      <c r="N145" s="65">
        <v>7.0999999999999994E-2</v>
      </c>
      <c r="O145" s="65">
        <v>2.5099999999999998</v>
      </c>
      <c r="P145" s="65">
        <v>15.2</v>
      </c>
      <c r="Q145" s="65">
        <v>1.9E-2</v>
      </c>
      <c r="R145" s="65">
        <v>7.77</v>
      </c>
      <c r="S145" s="65">
        <v>1.92</v>
      </c>
    </row>
    <row r="146" spans="1:19">
      <c r="A146" s="59"/>
      <c r="B146" s="271" t="s">
        <v>161</v>
      </c>
      <c r="C146" s="65" t="str">
        <f t="shared" si="8"/>
        <v>40x40x5</v>
      </c>
      <c r="D146" s="65" t="b">
        <f t="shared" si="9"/>
        <v>0</v>
      </c>
      <c r="E146" s="271" t="str">
        <f t="shared" si="10"/>
        <v>L 40x40x5</v>
      </c>
      <c r="F146" s="65">
        <v>2.97</v>
      </c>
      <c r="G146" s="65">
        <v>6</v>
      </c>
      <c r="H146" s="65">
        <v>3</v>
      </c>
      <c r="I146" s="65">
        <v>0.379</v>
      </c>
      <c r="J146" s="65">
        <v>11.6</v>
      </c>
      <c r="K146" s="65">
        <v>5.3999999999999999E-2</v>
      </c>
      <c r="L146" s="65">
        <v>1.91</v>
      </c>
      <c r="M146" s="68">
        <v>12</v>
      </c>
      <c r="N146" s="65">
        <v>8.5999999999999993E-2</v>
      </c>
      <c r="O146" s="65">
        <v>3.04</v>
      </c>
      <c r="P146" s="65">
        <v>15.1</v>
      </c>
      <c r="Q146" s="65">
        <v>2.3E-2</v>
      </c>
      <c r="R146" s="65">
        <v>7.73</v>
      </c>
      <c r="S146" s="65">
        <v>3.56</v>
      </c>
    </row>
    <row r="147" spans="1:19">
      <c r="A147" s="59"/>
      <c r="B147" s="271" t="s">
        <v>133</v>
      </c>
      <c r="C147" s="65" t="str">
        <f t="shared" si="8"/>
        <v/>
      </c>
      <c r="D147" s="65" t="b">
        <f t="shared" si="9"/>
        <v>1</v>
      </c>
      <c r="E147" s="271" t="str">
        <f t="shared" si="10"/>
        <v/>
      </c>
      <c r="F147" s="65" t="s">
        <v>135</v>
      </c>
      <c r="G147" s="65" t="s">
        <v>135</v>
      </c>
      <c r="H147" s="65" t="s">
        <v>135</v>
      </c>
      <c r="I147" s="65" t="s">
        <v>135</v>
      </c>
      <c r="J147" s="98"/>
      <c r="K147" s="65" t="s">
        <v>135</v>
      </c>
      <c r="L147" s="65" t="s">
        <v>135</v>
      </c>
      <c r="M147" s="65" t="s">
        <v>135</v>
      </c>
      <c r="N147" s="65" t="s">
        <v>135</v>
      </c>
      <c r="O147" s="65" t="s">
        <v>135</v>
      </c>
      <c r="P147" s="65" t="s">
        <v>135</v>
      </c>
      <c r="Q147" s="65" t="s">
        <v>135</v>
      </c>
      <c r="R147" s="98"/>
      <c r="S147" s="65"/>
    </row>
    <row r="148" spans="1:19">
      <c r="A148" s="59"/>
      <c r="B148" s="271" t="s">
        <v>162</v>
      </c>
      <c r="C148" s="65" t="str">
        <f t="shared" si="8"/>
        <v>45x45x3</v>
      </c>
      <c r="D148" s="65" t="b">
        <f t="shared" si="9"/>
        <v>0</v>
      </c>
      <c r="E148" s="271" t="str">
        <f t="shared" si="10"/>
        <v>L 45x45x3</v>
      </c>
      <c r="F148" s="65">
        <v>2.13</v>
      </c>
      <c r="G148" s="65">
        <v>7</v>
      </c>
      <c r="H148" s="65">
        <v>3.5</v>
      </c>
      <c r="I148" s="65">
        <v>0.26800000000000002</v>
      </c>
      <c r="J148" s="65">
        <v>11.9</v>
      </c>
      <c r="K148" s="65">
        <v>0.05</v>
      </c>
      <c r="L148" s="65">
        <v>1.52</v>
      </c>
      <c r="M148" s="65">
        <v>13.7</v>
      </c>
      <c r="N148" s="65">
        <v>7.9000000000000001E-2</v>
      </c>
      <c r="O148" s="65">
        <v>2.4900000000000002</v>
      </c>
      <c r="P148" s="65">
        <v>17.2</v>
      </c>
      <c r="Q148" s="65">
        <v>2.1000000000000001E-2</v>
      </c>
      <c r="R148" s="65">
        <v>8.8800000000000008</v>
      </c>
      <c r="S148" s="65">
        <v>10.6</v>
      </c>
    </row>
    <row r="149" spans="1:19">
      <c r="A149" s="59"/>
      <c r="B149" s="271" t="s">
        <v>163</v>
      </c>
      <c r="C149" s="65" t="str">
        <f t="shared" si="8"/>
        <v>45x45x4</v>
      </c>
      <c r="D149" s="65" t="b">
        <f t="shared" si="9"/>
        <v>0</v>
      </c>
      <c r="E149" s="271" t="str">
        <f t="shared" si="10"/>
        <v>L 45x45x4</v>
      </c>
      <c r="F149" s="65">
        <v>2.74</v>
      </c>
      <c r="G149" s="65">
        <v>7</v>
      </c>
      <c r="H149" s="65">
        <v>3.5</v>
      </c>
      <c r="I149" s="65">
        <v>0.34899999999999998</v>
      </c>
      <c r="J149" s="65">
        <v>12.3</v>
      </c>
      <c r="K149" s="65">
        <v>6.4000000000000001E-2</v>
      </c>
      <c r="L149" s="65">
        <v>1.97</v>
      </c>
      <c r="M149" s="65">
        <v>13.6</v>
      </c>
      <c r="N149" s="65">
        <v>0.10199999999999999</v>
      </c>
      <c r="O149" s="65">
        <v>3.2</v>
      </c>
      <c r="P149" s="65">
        <v>17.100000000000001</v>
      </c>
      <c r="Q149" s="65">
        <v>2.7E-2</v>
      </c>
      <c r="R149" s="65">
        <v>8.76</v>
      </c>
      <c r="S149" s="65">
        <v>2.27</v>
      </c>
    </row>
    <row r="150" spans="1:19">
      <c r="A150" s="59"/>
      <c r="B150" s="271" t="s">
        <v>164</v>
      </c>
      <c r="C150" s="65" t="str">
        <f t="shared" si="8"/>
        <v>45x45x5</v>
      </c>
      <c r="D150" s="65" t="b">
        <f t="shared" si="9"/>
        <v>0</v>
      </c>
      <c r="E150" s="271" t="str">
        <f t="shared" si="10"/>
        <v>L 45x45x5</v>
      </c>
      <c r="F150" s="65">
        <v>3.38</v>
      </c>
      <c r="G150" s="65">
        <v>7</v>
      </c>
      <c r="H150" s="65">
        <v>3.5</v>
      </c>
      <c r="I150" s="69">
        <v>0.43</v>
      </c>
      <c r="J150" s="65">
        <v>12.8</v>
      </c>
      <c r="K150" s="65">
        <v>7.8E-2</v>
      </c>
      <c r="L150" s="65">
        <v>2.4300000000000002</v>
      </c>
      <c r="M150" s="65">
        <v>13.5</v>
      </c>
      <c r="N150" s="65">
        <v>0.124</v>
      </c>
      <c r="O150" s="65">
        <v>3.9</v>
      </c>
      <c r="P150" s="68">
        <v>17</v>
      </c>
      <c r="Q150" s="65">
        <v>3.3000000000000002E-2</v>
      </c>
      <c r="R150" s="65">
        <v>8.7100000000000009</v>
      </c>
      <c r="S150" s="65">
        <v>4.17</v>
      </c>
    </row>
    <row r="151" spans="1:19">
      <c r="A151" s="59"/>
      <c r="B151" s="271" t="s">
        <v>133</v>
      </c>
      <c r="C151" s="65" t="str">
        <f t="shared" si="8"/>
        <v/>
      </c>
      <c r="D151" s="65" t="b">
        <f t="shared" si="9"/>
        <v>1</v>
      </c>
      <c r="E151" s="271" t="str">
        <f t="shared" si="10"/>
        <v/>
      </c>
      <c r="F151" s="65" t="s">
        <v>135</v>
      </c>
      <c r="G151" s="65" t="s">
        <v>135</v>
      </c>
      <c r="H151" s="65" t="s">
        <v>135</v>
      </c>
      <c r="I151" s="65" t="s">
        <v>135</v>
      </c>
      <c r="J151" s="98"/>
      <c r="K151" s="65" t="s">
        <v>135</v>
      </c>
      <c r="L151" s="65" t="s">
        <v>135</v>
      </c>
      <c r="M151" s="65" t="s">
        <v>135</v>
      </c>
      <c r="N151" s="65" t="s">
        <v>135</v>
      </c>
      <c r="O151" s="65" t="s">
        <v>135</v>
      </c>
      <c r="P151" s="65" t="s">
        <v>135</v>
      </c>
      <c r="Q151" s="65" t="s">
        <v>135</v>
      </c>
      <c r="R151" s="98"/>
      <c r="S151" s="65"/>
    </row>
    <row r="152" spans="1:19">
      <c r="A152" s="59"/>
      <c r="B152" s="271" t="s">
        <v>165</v>
      </c>
      <c r="C152" s="65" t="str">
        <f t="shared" si="8"/>
        <v>50x50x3</v>
      </c>
      <c r="D152" s="65" t="b">
        <f t="shared" si="9"/>
        <v>0</v>
      </c>
      <c r="E152" s="271" t="str">
        <f t="shared" si="10"/>
        <v>L 50x50x3</v>
      </c>
      <c r="F152" s="65">
        <v>2.37</v>
      </c>
      <c r="G152" s="65">
        <v>7</v>
      </c>
      <c r="H152" s="65">
        <v>3.5</v>
      </c>
      <c r="I152" s="65">
        <v>0.29799999999999999</v>
      </c>
      <c r="J152" s="65">
        <v>13.1</v>
      </c>
      <c r="K152" s="69">
        <v>7.0000000000000007E-2</v>
      </c>
      <c r="L152" s="65">
        <v>1.89</v>
      </c>
      <c r="M152" s="65">
        <v>15.3</v>
      </c>
      <c r="N152" s="69">
        <v>0.11</v>
      </c>
      <c r="O152" s="65">
        <v>3.12</v>
      </c>
      <c r="P152" s="65">
        <v>19.2</v>
      </c>
      <c r="Q152" s="65">
        <v>2.9000000000000001E-2</v>
      </c>
      <c r="R152" s="65">
        <v>9.92</v>
      </c>
      <c r="S152" s="65">
        <v>1.1499999999999999</v>
      </c>
    </row>
    <row r="153" spans="1:19">
      <c r="A153" s="59"/>
      <c r="B153" s="271" t="s">
        <v>166</v>
      </c>
      <c r="C153" s="65" t="str">
        <f t="shared" si="8"/>
        <v>50x50x4</v>
      </c>
      <c r="D153" s="65" t="b">
        <f t="shared" si="9"/>
        <v>0</v>
      </c>
      <c r="E153" s="271" t="str">
        <f t="shared" si="10"/>
        <v>L 50x50x4</v>
      </c>
      <c r="F153" s="65">
        <v>3.06</v>
      </c>
      <c r="G153" s="65">
        <v>7</v>
      </c>
      <c r="H153" s="65">
        <v>3.5</v>
      </c>
      <c r="I153" s="65">
        <v>0.38900000000000001</v>
      </c>
      <c r="J153" s="65">
        <v>13.6</v>
      </c>
      <c r="K153" s="69">
        <v>0.09</v>
      </c>
      <c r="L153" s="65">
        <v>2.46</v>
      </c>
      <c r="M153" s="65">
        <v>15.2</v>
      </c>
      <c r="N153" s="65">
        <v>0.14199999999999999</v>
      </c>
      <c r="O153" s="65">
        <v>4.0199999999999996</v>
      </c>
      <c r="P153" s="65">
        <v>19.100000000000001</v>
      </c>
      <c r="Q153" s="65">
        <v>3.6999999999999998E-2</v>
      </c>
      <c r="R153" s="65">
        <v>9.7899999999999991</v>
      </c>
      <c r="S153" s="65">
        <v>2.48</v>
      </c>
    </row>
    <row r="154" spans="1:19">
      <c r="A154" s="59"/>
      <c r="B154" s="271" t="s">
        <v>167</v>
      </c>
      <c r="C154" s="65" t="str">
        <f t="shared" si="8"/>
        <v>50x50x5</v>
      </c>
      <c r="D154" s="65" t="b">
        <f t="shared" si="9"/>
        <v>0</v>
      </c>
      <c r="E154" s="271" t="str">
        <f t="shared" si="10"/>
        <v>L 50x50x5</v>
      </c>
      <c r="F154" s="65">
        <v>3.77</v>
      </c>
      <c r="G154" s="65">
        <v>7</v>
      </c>
      <c r="H154" s="65">
        <v>3.5</v>
      </c>
      <c r="I154" s="69">
        <v>0.48</v>
      </c>
      <c r="J154" s="65">
        <v>14</v>
      </c>
      <c r="K154" s="69">
        <v>0.11</v>
      </c>
      <c r="L154" s="65">
        <v>3.05</v>
      </c>
      <c r="M154" s="65">
        <v>15.1</v>
      </c>
      <c r="N154" s="65">
        <v>0.17399999999999999</v>
      </c>
      <c r="O154" s="65">
        <v>4.92</v>
      </c>
      <c r="P154" s="65">
        <v>19</v>
      </c>
      <c r="Q154" s="65">
        <v>4.5999999999999999E-2</v>
      </c>
      <c r="R154" s="65">
        <v>9.73</v>
      </c>
      <c r="S154" s="65">
        <v>4.58</v>
      </c>
    </row>
    <row r="155" spans="1:19">
      <c r="A155" s="59"/>
      <c r="B155" s="271" t="s">
        <v>168</v>
      </c>
      <c r="C155" s="65" t="str">
        <f t="shared" si="8"/>
        <v>50x50x6</v>
      </c>
      <c r="D155" s="65" t="b">
        <f t="shared" si="9"/>
        <v>0</v>
      </c>
      <c r="E155" s="271" t="str">
        <f t="shared" si="10"/>
        <v>L 50x50x6</v>
      </c>
      <c r="F155" s="65">
        <v>4.47</v>
      </c>
      <c r="G155" s="65">
        <v>7</v>
      </c>
      <c r="H155" s="65">
        <v>3.5</v>
      </c>
      <c r="I155" s="65">
        <v>0.56899999999999995</v>
      </c>
      <c r="J155" s="65">
        <v>14.5</v>
      </c>
      <c r="K155" s="65">
        <v>0.128</v>
      </c>
      <c r="L155" s="65">
        <v>3.61</v>
      </c>
      <c r="M155" s="65">
        <v>15</v>
      </c>
      <c r="N155" s="65">
        <v>0.20300000000000001</v>
      </c>
      <c r="O155" s="65">
        <v>5.75</v>
      </c>
      <c r="P155" s="65">
        <v>18.899999999999999</v>
      </c>
      <c r="Q155" s="65">
        <v>5.2999999999999999E-2</v>
      </c>
      <c r="R155" s="65">
        <v>9.68</v>
      </c>
      <c r="S155" s="65">
        <v>7.62</v>
      </c>
    </row>
    <row r="156" spans="1:19" ht="12.75" customHeight="1">
      <c r="A156" s="59"/>
      <c r="B156" s="271" t="s">
        <v>169</v>
      </c>
      <c r="C156" s="65" t="str">
        <f t="shared" si="8"/>
        <v>50x50x8</v>
      </c>
      <c r="D156" s="65" t="b">
        <f t="shared" si="9"/>
        <v>0</v>
      </c>
      <c r="E156" s="271" t="str">
        <f t="shared" si="10"/>
        <v>L 50x50x8</v>
      </c>
      <c r="F156" s="65">
        <v>5.82</v>
      </c>
      <c r="G156" s="65">
        <v>7</v>
      </c>
      <c r="H156" s="65">
        <v>3.5</v>
      </c>
      <c r="I156" s="65">
        <v>0.74099999999999999</v>
      </c>
      <c r="J156" s="65">
        <v>15.2</v>
      </c>
      <c r="K156" s="65">
        <v>0.16300000000000001</v>
      </c>
      <c r="L156" s="65">
        <v>4.68</v>
      </c>
      <c r="M156" s="65">
        <v>14.8</v>
      </c>
      <c r="N156" s="65">
        <v>0.25700000000000001</v>
      </c>
      <c r="O156" s="65">
        <v>7.27</v>
      </c>
      <c r="P156" s="65">
        <v>18.600000000000001</v>
      </c>
      <c r="Q156" s="65">
        <v>6.9000000000000006E-2</v>
      </c>
      <c r="R156" s="65">
        <v>9.6300000000000008</v>
      </c>
      <c r="S156" s="68">
        <v>17</v>
      </c>
    </row>
    <row r="157" spans="1:19">
      <c r="A157" s="59"/>
      <c r="B157" s="271" t="s">
        <v>133</v>
      </c>
      <c r="C157" s="65" t="str">
        <f t="shared" si="8"/>
        <v/>
      </c>
      <c r="D157" s="65" t="b">
        <f t="shared" si="9"/>
        <v>1</v>
      </c>
      <c r="E157" s="271" t="str">
        <f t="shared" si="10"/>
        <v/>
      </c>
      <c r="F157" s="65" t="s">
        <v>135</v>
      </c>
      <c r="G157" s="65" t="s">
        <v>135</v>
      </c>
      <c r="H157" s="65" t="s">
        <v>135</v>
      </c>
      <c r="I157" s="65" t="s">
        <v>135</v>
      </c>
      <c r="J157" s="98"/>
      <c r="K157" s="65" t="s">
        <v>135</v>
      </c>
      <c r="L157" s="65" t="s">
        <v>135</v>
      </c>
      <c r="M157" s="65" t="s">
        <v>135</v>
      </c>
      <c r="N157" s="65" t="s">
        <v>135</v>
      </c>
      <c r="O157" s="65" t="s">
        <v>135</v>
      </c>
      <c r="P157" s="65" t="s">
        <v>135</v>
      </c>
      <c r="Q157" s="65" t="s">
        <v>135</v>
      </c>
      <c r="R157" s="98"/>
      <c r="S157" s="65"/>
    </row>
    <row r="158" spans="1:19">
      <c r="A158" s="59"/>
      <c r="B158" s="271" t="s">
        <v>170</v>
      </c>
      <c r="C158" s="65" t="str">
        <f t="shared" si="8"/>
        <v>60x60x4</v>
      </c>
      <c r="D158" s="65" t="b">
        <f t="shared" si="9"/>
        <v>0</v>
      </c>
      <c r="E158" s="271" t="str">
        <f t="shared" si="10"/>
        <v>L 60x60x4</v>
      </c>
      <c r="F158" s="65">
        <v>3.7</v>
      </c>
      <c r="G158" s="65">
        <v>8</v>
      </c>
      <c r="H158" s="65">
        <v>4</v>
      </c>
      <c r="I158" s="65">
        <v>0.47099999999999997</v>
      </c>
      <c r="J158" s="65">
        <v>16</v>
      </c>
      <c r="K158" s="65">
        <v>0.158</v>
      </c>
      <c r="L158" s="65">
        <v>3.59</v>
      </c>
      <c r="M158" s="65">
        <v>18.3</v>
      </c>
      <c r="N158" s="69">
        <v>0.25</v>
      </c>
      <c r="O158" s="67">
        <v>5.9</v>
      </c>
      <c r="P158" s="65">
        <v>23</v>
      </c>
      <c r="Q158" s="65">
        <v>6.6000000000000003E-2</v>
      </c>
      <c r="R158" s="65">
        <v>11.8</v>
      </c>
      <c r="S158" s="65">
        <v>3.07</v>
      </c>
    </row>
    <row r="159" spans="1:19">
      <c r="A159" s="59"/>
      <c r="B159" s="271" t="s">
        <v>171</v>
      </c>
      <c r="C159" s="65" t="str">
        <f t="shared" si="8"/>
        <v>60x60x5</v>
      </c>
      <c r="D159" s="65" t="b">
        <f t="shared" si="9"/>
        <v>0</v>
      </c>
      <c r="E159" s="271" t="str">
        <f t="shared" si="10"/>
        <v>L 60x60x5</v>
      </c>
      <c r="F159" s="65">
        <v>4.57</v>
      </c>
      <c r="G159" s="65">
        <v>8</v>
      </c>
      <c r="H159" s="65">
        <v>4</v>
      </c>
      <c r="I159" s="65">
        <v>0.58199999999999996</v>
      </c>
      <c r="J159" s="65">
        <v>16.399999999999999</v>
      </c>
      <c r="K159" s="65">
        <v>0.19400000000000001</v>
      </c>
      <c r="L159" s="65">
        <v>4.45</v>
      </c>
      <c r="M159" s="65">
        <v>18.2</v>
      </c>
      <c r="N159" s="65">
        <v>0.307</v>
      </c>
      <c r="O159" s="65">
        <v>7.24</v>
      </c>
      <c r="P159" s="65">
        <v>23</v>
      </c>
      <c r="Q159" s="65">
        <v>0.08</v>
      </c>
      <c r="R159" s="65">
        <v>11.7</v>
      </c>
      <c r="S159" s="65">
        <v>5.64</v>
      </c>
    </row>
    <row r="160" spans="1:19">
      <c r="A160" s="59"/>
      <c r="B160" s="271" t="s">
        <v>172</v>
      </c>
      <c r="C160" s="65" t="str">
        <f t="shared" si="8"/>
        <v>60x60x6</v>
      </c>
      <c r="D160" s="65" t="b">
        <f t="shared" si="9"/>
        <v>0</v>
      </c>
      <c r="E160" s="271" t="str">
        <f t="shared" si="10"/>
        <v>L 60x60x6</v>
      </c>
      <c r="F160" s="65">
        <v>5.42</v>
      </c>
      <c r="G160" s="65">
        <v>8</v>
      </c>
      <c r="H160" s="65">
        <v>4</v>
      </c>
      <c r="I160" s="65">
        <v>0.69099999999999995</v>
      </c>
      <c r="J160" s="65">
        <v>16.899999999999999</v>
      </c>
      <c r="K160" s="65">
        <v>0.22800000000000001</v>
      </c>
      <c r="L160" s="65">
        <v>5.29</v>
      </c>
      <c r="M160" s="65">
        <v>18.2</v>
      </c>
      <c r="N160" s="65">
        <v>0.36099999999999999</v>
      </c>
      <c r="O160" s="65">
        <v>8.52</v>
      </c>
      <c r="P160" s="65">
        <v>22.9</v>
      </c>
      <c r="Q160" s="65">
        <v>9.4E-2</v>
      </c>
      <c r="R160" s="65">
        <v>11.7</v>
      </c>
      <c r="S160" s="65">
        <v>9.36</v>
      </c>
    </row>
    <row r="161" spans="1:19">
      <c r="A161" s="59"/>
      <c r="B161" s="271" t="s">
        <v>173</v>
      </c>
      <c r="C161" s="65" t="str">
        <f t="shared" si="8"/>
        <v>60x60x8</v>
      </c>
      <c r="D161" s="65" t="b">
        <f t="shared" si="9"/>
        <v>0</v>
      </c>
      <c r="E161" s="271" t="str">
        <f t="shared" si="10"/>
        <v>L 60x60x8</v>
      </c>
      <c r="F161" s="65">
        <v>7.09</v>
      </c>
      <c r="G161" s="65">
        <v>8</v>
      </c>
      <c r="H161" s="65">
        <v>4</v>
      </c>
      <c r="I161" s="65">
        <v>0.90300000000000002</v>
      </c>
      <c r="J161" s="65">
        <v>17.7</v>
      </c>
      <c r="K161" s="65">
        <v>0.29199999999999998</v>
      </c>
      <c r="L161" s="65">
        <v>6.89</v>
      </c>
      <c r="M161" s="68">
        <v>18</v>
      </c>
      <c r="N161" s="65">
        <v>0.46100000000000002</v>
      </c>
      <c r="O161" s="65">
        <v>10.9</v>
      </c>
      <c r="P161" s="65">
        <v>22.6</v>
      </c>
      <c r="Q161" s="65">
        <v>0.122</v>
      </c>
      <c r="R161" s="65">
        <v>11.6</v>
      </c>
      <c r="S161" s="68">
        <v>21</v>
      </c>
    </row>
    <row r="162" spans="1:19">
      <c r="A162" s="59"/>
      <c r="B162" s="271" t="s">
        <v>174</v>
      </c>
      <c r="C162" s="65" t="str">
        <f t="shared" si="8"/>
        <v>60x60x10</v>
      </c>
      <c r="D162" s="65" t="b">
        <f t="shared" si="9"/>
        <v>0</v>
      </c>
      <c r="E162" s="271" t="str">
        <f t="shared" si="10"/>
        <v>L 60x60x10</v>
      </c>
      <c r="F162" s="65">
        <v>8.69</v>
      </c>
      <c r="G162" s="65">
        <v>8</v>
      </c>
      <c r="H162" s="65">
        <v>4</v>
      </c>
      <c r="I162" s="65">
        <v>1.1100000000000001</v>
      </c>
      <c r="J162" s="65">
        <v>18.5</v>
      </c>
      <c r="K162" s="65">
        <v>0.34899999999999998</v>
      </c>
      <c r="L162" s="65">
        <v>8.41</v>
      </c>
      <c r="M162" s="65">
        <v>17.8</v>
      </c>
      <c r="N162" s="65">
        <v>0.55100000000000005</v>
      </c>
      <c r="O162" s="68">
        <v>13</v>
      </c>
      <c r="P162" s="65">
        <v>22.3</v>
      </c>
      <c r="Q162" s="65">
        <v>0.14799999999999999</v>
      </c>
      <c r="R162" s="65">
        <v>11.6</v>
      </c>
      <c r="S162" s="65">
        <v>39.200000000000003</v>
      </c>
    </row>
    <row r="163" spans="1:19">
      <c r="A163" s="59"/>
      <c r="B163" s="271" t="s">
        <v>133</v>
      </c>
      <c r="C163" s="65" t="str">
        <f t="shared" si="8"/>
        <v/>
      </c>
      <c r="D163" s="65" t="b">
        <f t="shared" si="9"/>
        <v>1</v>
      </c>
      <c r="E163" s="271" t="str">
        <f t="shared" si="10"/>
        <v/>
      </c>
      <c r="F163" s="65" t="s">
        <v>135</v>
      </c>
      <c r="G163" s="65" t="s">
        <v>135</v>
      </c>
      <c r="H163" s="65" t="s">
        <v>135</v>
      </c>
      <c r="I163" s="65" t="s">
        <v>135</v>
      </c>
      <c r="J163" s="98"/>
      <c r="K163" s="65" t="s">
        <v>135</v>
      </c>
      <c r="L163" s="65" t="s">
        <v>135</v>
      </c>
      <c r="M163" s="65" t="s">
        <v>135</v>
      </c>
      <c r="N163" s="65" t="s">
        <v>135</v>
      </c>
      <c r="O163" s="65" t="s">
        <v>135</v>
      </c>
      <c r="P163" s="65" t="s">
        <v>135</v>
      </c>
      <c r="Q163" s="65" t="s">
        <v>135</v>
      </c>
      <c r="R163" s="98"/>
      <c r="S163" s="65"/>
    </row>
    <row r="164" spans="1:19">
      <c r="A164" s="59"/>
      <c r="B164" s="271" t="s">
        <v>175</v>
      </c>
      <c r="C164" s="65" t="str">
        <f t="shared" si="8"/>
        <v>70x70x6</v>
      </c>
      <c r="D164" s="65" t="b">
        <f t="shared" si="9"/>
        <v>0</v>
      </c>
      <c r="E164" s="271" t="str">
        <f t="shared" si="10"/>
        <v>L 70x70x6</v>
      </c>
      <c r="F164" s="65">
        <v>6.38</v>
      </c>
      <c r="G164" s="65">
        <v>9</v>
      </c>
      <c r="H164" s="65">
        <v>4.5</v>
      </c>
      <c r="I164" s="65">
        <v>0.81299999999999994</v>
      </c>
      <c r="J164" s="65">
        <v>19.3</v>
      </c>
      <c r="K164" s="65">
        <v>0.36899999999999999</v>
      </c>
      <c r="L164" s="65">
        <v>7.27</v>
      </c>
      <c r="M164" s="65">
        <v>21.3</v>
      </c>
      <c r="N164" s="65">
        <v>0.58499999999999996</v>
      </c>
      <c r="O164" s="65">
        <v>11.8</v>
      </c>
      <c r="P164" s="65">
        <v>26.8</v>
      </c>
      <c r="Q164" s="65">
        <v>0.153</v>
      </c>
      <c r="R164" s="65">
        <v>13.7</v>
      </c>
      <c r="S164" s="65">
        <v>11.2</v>
      </c>
    </row>
    <row r="165" spans="1:19">
      <c r="A165" s="59"/>
      <c r="B165" s="271" t="s">
        <v>176</v>
      </c>
      <c r="C165" s="65" t="str">
        <f t="shared" si="8"/>
        <v>70x70x8</v>
      </c>
      <c r="D165" s="65" t="b">
        <f t="shared" si="9"/>
        <v>0</v>
      </c>
      <c r="E165" s="271" t="str">
        <f t="shared" si="10"/>
        <v>L 70x70x8</v>
      </c>
      <c r="F165" s="65">
        <v>8.36</v>
      </c>
      <c r="G165" s="65">
        <v>9</v>
      </c>
      <c r="H165" s="65">
        <v>4.5</v>
      </c>
      <c r="I165" s="65">
        <v>1.06</v>
      </c>
      <c r="J165" s="65">
        <v>20.100000000000001</v>
      </c>
      <c r="K165" s="65">
        <v>0.47499999999999998</v>
      </c>
      <c r="L165" s="65">
        <v>9.52</v>
      </c>
      <c r="M165" s="65">
        <v>21.1</v>
      </c>
      <c r="N165" s="65">
        <v>0.753</v>
      </c>
      <c r="O165" s="65">
        <v>15.2</v>
      </c>
      <c r="P165" s="65">
        <v>26.6</v>
      </c>
      <c r="Q165" s="65">
        <v>0.19700000000000001</v>
      </c>
      <c r="R165" s="65">
        <v>13.6</v>
      </c>
      <c r="S165" s="65">
        <v>25</v>
      </c>
    </row>
    <row r="166" spans="1:19">
      <c r="A166" s="59"/>
      <c r="B166" s="271" t="s">
        <v>177</v>
      </c>
      <c r="C166" s="65" t="str">
        <f t="shared" si="8"/>
        <v>70x70x10</v>
      </c>
      <c r="D166" s="65" t="b">
        <f t="shared" si="9"/>
        <v>0</v>
      </c>
      <c r="E166" s="271" t="str">
        <f t="shared" si="10"/>
        <v>L 70x70x10</v>
      </c>
      <c r="F166" s="65">
        <v>10.3</v>
      </c>
      <c r="G166" s="65">
        <v>9</v>
      </c>
      <c r="H166" s="65">
        <v>4.5</v>
      </c>
      <c r="I166" s="65">
        <v>1.31</v>
      </c>
      <c r="J166" s="65">
        <v>20.9</v>
      </c>
      <c r="K166" s="65">
        <v>0.57199999999999995</v>
      </c>
      <c r="L166" s="65">
        <v>11.7</v>
      </c>
      <c r="M166" s="65">
        <v>20.9</v>
      </c>
      <c r="N166" s="65">
        <v>0.90500000000000003</v>
      </c>
      <c r="O166" s="65">
        <v>18.3</v>
      </c>
      <c r="P166" s="65">
        <v>26.3</v>
      </c>
      <c r="Q166" s="65">
        <v>0.24</v>
      </c>
      <c r="R166" s="65">
        <v>13.5</v>
      </c>
      <c r="S166" s="65">
        <v>46.8</v>
      </c>
    </row>
    <row r="167" spans="1:19">
      <c r="A167" s="59"/>
      <c r="B167" s="271" t="s">
        <v>133</v>
      </c>
      <c r="C167" s="65" t="str">
        <f t="shared" si="8"/>
        <v/>
      </c>
      <c r="D167" s="65" t="b">
        <f t="shared" si="9"/>
        <v>1</v>
      </c>
      <c r="E167" s="271" t="str">
        <f t="shared" si="10"/>
        <v/>
      </c>
      <c r="F167" s="65" t="s">
        <v>135</v>
      </c>
      <c r="G167" s="65" t="s">
        <v>135</v>
      </c>
      <c r="H167" s="65" t="s">
        <v>135</v>
      </c>
      <c r="I167" s="65" t="s">
        <v>135</v>
      </c>
      <c r="J167" s="98"/>
      <c r="K167" s="65" t="s">
        <v>135</v>
      </c>
      <c r="L167" s="65" t="s">
        <v>135</v>
      </c>
      <c r="M167" s="65" t="s">
        <v>135</v>
      </c>
      <c r="N167" s="65" t="s">
        <v>135</v>
      </c>
      <c r="O167" s="65" t="s">
        <v>135</v>
      </c>
      <c r="P167" s="65" t="s">
        <v>135</v>
      </c>
      <c r="Q167" s="65" t="s">
        <v>135</v>
      </c>
      <c r="R167" s="98"/>
      <c r="S167" s="65"/>
    </row>
    <row r="168" spans="1:19">
      <c r="A168" s="59"/>
      <c r="B168" s="271" t="s">
        <v>178</v>
      </c>
      <c r="C168" s="65" t="str">
        <f t="shared" si="8"/>
        <v>80x80x6</v>
      </c>
      <c r="D168" s="65" t="b">
        <f t="shared" si="9"/>
        <v>0</v>
      </c>
      <c r="E168" s="271" t="str">
        <f t="shared" si="10"/>
        <v>L 80x80x6</v>
      </c>
      <c r="F168" s="65">
        <v>7.34</v>
      </c>
      <c r="G168" s="65">
        <v>10</v>
      </c>
      <c r="H168" s="65">
        <v>5</v>
      </c>
      <c r="I168" s="65">
        <v>0.93500000000000005</v>
      </c>
      <c r="J168" s="65">
        <v>21.7</v>
      </c>
      <c r="K168" s="65">
        <v>0.55800000000000005</v>
      </c>
      <c r="L168" s="65">
        <v>9.57</v>
      </c>
      <c r="M168" s="65">
        <v>24.4</v>
      </c>
      <c r="N168" s="65">
        <v>0.88500000000000001</v>
      </c>
      <c r="O168" s="65">
        <v>15.6</v>
      </c>
      <c r="P168" s="65">
        <v>30.8</v>
      </c>
      <c r="Q168" s="65">
        <v>0.23100000000000001</v>
      </c>
      <c r="R168" s="65">
        <v>15.7</v>
      </c>
      <c r="S168" s="68">
        <v>13</v>
      </c>
    </row>
    <row r="169" spans="1:19">
      <c r="A169" s="59"/>
      <c r="B169" s="271" t="s">
        <v>179</v>
      </c>
      <c r="C169" s="65" t="str">
        <f t="shared" si="8"/>
        <v>80x80x8</v>
      </c>
      <c r="D169" s="65" t="b">
        <f t="shared" si="9"/>
        <v>0</v>
      </c>
      <c r="E169" s="271" t="str">
        <f t="shared" si="10"/>
        <v>L 80x80x8</v>
      </c>
      <c r="F169" s="65">
        <v>9.6300000000000008</v>
      </c>
      <c r="G169" s="65">
        <v>10</v>
      </c>
      <c r="H169" s="65">
        <v>5</v>
      </c>
      <c r="I169" s="65">
        <v>1.23</v>
      </c>
      <c r="J169" s="65">
        <v>22.6</v>
      </c>
      <c r="K169" s="65">
        <v>0.72199999999999998</v>
      </c>
      <c r="L169" s="65">
        <v>12.6</v>
      </c>
      <c r="M169" s="65">
        <v>24.3</v>
      </c>
      <c r="N169" s="65">
        <v>1.1499999999999999</v>
      </c>
      <c r="O169" s="65">
        <v>20.3</v>
      </c>
      <c r="P169" s="65">
        <v>30.6</v>
      </c>
      <c r="Q169" s="65">
        <v>0.29899999999999999</v>
      </c>
      <c r="R169" s="65">
        <v>15.6</v>
      </c>
      <c r="S169" s="65">
        <v>29.1</v>
      </c>
    </row>
    <row r="170" spans="1:19">
      <c r="A170" s="59"/>
      <c r="B170" s="271" t="s">
        <v>180</v>
      </c>
      <c r="C170" s="65" t="str">
        <f t="shared" si="8"/>
        <v>80x80x10</v>
      </c>
      <c r="D170" s="65" t="b">
        <f t="shared" si="9"/>
        <v>0</v>
      </c>
      <c r="E170" s="271" t="str">
        <f t="shared" si="10"/>
        <v>L 80x80x10</v>
      </c>
      <c r="F170" s="65">
        <v>11.9</v>
      </c>
      <c r="G170" s="65">
        <v>10</v>
      </c>
      <c r="H170" s="65">
        <v>5</v>
      </c>
      <c r="I170" s="65">
        <v>1.51</v>
      </c>
      <c r="J170" s="65">
        <v>23.4</v>
      </c>
      <c r="K170" s="65">
        <v>0.875</v>
      </c>
      <c r="L170" s="65">
        <v>15.4</v>
      </c>
      <c r="M170" s="65">
        <v>24.1</v>
      </c>
      <c r="N170" s="65">
        <v>1.39</v>
      </c>
      <c r="O170" s="65">
        <v>24.5</v>
      </c>
      <c r="P170" s="65">
        <v>30.3</v>
      </c>
      <c r="Q170" s="65">
        <v>0.36399999999999999</v>
      </c>
      <c r="R170" s="65">
        <v>15.5</v>
      </c>
      <c r="S170" s="65">
        <v>54.5</v>
      </c>
    </row>
    <row r="171" spans="1:19">
      <c r="A171" s="59"/>
      <c r="B171" s="271" t="s">
        <v>181</v>
      </c>
      <c r="C171" s="65" t="str">
        <f t="shared" si="8"/>
        <v>80x80x12</v>
      </c>
      <c r="D171" s="65" t="b">
        <f t="shared" si="9"/>
        <v>0</v>
      </c>
      <c r="E171" s="271" t="str">
        <f t="shared" si="10"/>
        <v>L 80x80x12</v>
      </c>
      <c r="F171" s="68">
        <v>14</v>
      </c>
      <c r="G171" s="65">
        <v>10</v>
      </c>
      <c r="H171" s="65">
        <v>5</v>
      </c>
      <c r="I171" s="65">
        <v>1.79</v>
      </c>
      <c r="J171" s="65">
        <v>24.1</v>
      </c>
      <c r="K171" s="65">
        <v>1.02</v>
      </c>
      <c r="L171" s="65">
        <v>18.2</v>
      </c>
      <c r="M171" s="65">
        <v>23.9</v>
      </c>
      <c r="N171" s="65">
        <v>1.61</v>
      </c>
      <c r="O171" s="65">
        <v>28.4</v>
      </c>
      <c r="P171" s="68">
        <v>30</v>
      </c>
      <c r="Q171" s="65">
        <v>0.42699999999999999</v>
      </c>
      <c r="R171" s="65">
        <v>15.5</v>
      </c>
      <c r="S171" s="65">
        <v>91.2</v>
      </c>
    </row>
    <row r="172" spans="1:19">
      <c r="A172" s="59"/>
      <c r="B172" s="271" t="s">
        <v>133</v>
      </c>
      <c r="C172" s="65" t="str">
        <f t="shared" si="8"/>
        <v/>
      </c>
      <c r="D172" s="65" t="b">
        <f t="shared" si="9"/>
        <v>1</v>
      </c>
      <c r="E172" s="271" t="str">
        <f t="shared" si="10"/>
        <v/>
      </c>
      <c r="F172" s="65" t="s">
        <v>135</v>
      </c>
      <c r="G172" s="65" t="s">
        <v>135</v>
      </c>
      <c r="H172" s="65" t="s">
        <v>135</v>
      </c>
      <c r="I172" s="65" t="s">
        <v>135</v>
      </c>
      <c r="J172" s="98"/>
      <c r="K172" s="65" t="s">
        <v>135</v>
      </c>
      <c r="L172" s="65" t="s">
        <v>135</v>
      </c>
      <c r="M172" s="65" t="s">
        <v>135</v>
      </c>
      <c r="N172" s="65" t="s">
        <v>135</v>
      </c>
      <c r="O172" s="65" t="s">
        <v>135</v>
      </c>
      <c r="P172" s="65" t="s">
        <v>135</v>
      </c>
      <c r="Q172" s="65" t="s">
        <v>135</v>
      </c>
      <c r="R172" s="98"/>
      <c r="S172" s="65"/>
    </row>
    <row r="173" spans="1:19">
      <c r="A173" s="59"/>
      <c r="B173" s="271" t="s">
        <v>182</v>
      </c>
      <c r="C173" s="65" t="str">
        <f t="shared" si="8"/>
        <v>90x90x6</v>
      </c>
      <c r="D173" s="65" t="b">
        <f t="shared" si="9"/>
        <v>0</v>
      </c>
      <c r="E173" s="271" t="str">
        <f t="shared" si="10"/>
        <v>L 90x90x6</v>
      </c>
      <c r="F173" s="65">
        <v>8.3000000000000007</v>
      </c>
      <c r="G173" s="65">
        <v>11</v>
      </c>
      <c r="H173" s="65">
        <v>5.5</v>
      </c>
      <c r="I173" s="65">
        <v>1.06</v>
      </c>
      <c r="J173" s="65">
        <v>24.1</v>
      </c>
      <c r="K173" s="65">
        <v>0.80300000000000005</v>
      </c>
      <c r="L173" s="65">
        <v>12.2</v>
      </c>
      <c r="M173" s="65">
        <v>27.6</v>
      </c>
      <c r="N173" s="65">
        <v>1.27</v>
      </c>
      <c r="O173" s="68">
        <v>20</v>
      </c>
      <c r="P173" s="65">
        <v>34.700000000000003</v>
      </c>
      <c r="Q173" s="65">
        <v>0.33300000000000002</v>
      </c>
      <c r="R173" s="65">
        <v>17.8</v>
      </c>
      <c r="S173" s="68">
        <v>15</v>
      </c>
    </row>
    <row r="174" spans="1:19" ht="12.75" customHeight="1">
      <c r="A174" s="59"/>
      <c r="B174" s="271" t="s">
        <v>183</v>
      </c>
      <c r="C174" s="65" t="str">
        <f t="shared" si="8"/>
        <v>90x90x8</v>
      </c>
      <c r="D174" s="65" t="b">
        <f t="shared" si="9"/>
        <v>0</v>
      </c>
      <c r="E174" s="271" t="str">
        <f t="shared" si="10"/>
        <v>L 90x90x8</v>
      </c>
      <c r="F174" s="65">
        <v>10.9</v>
      </c>
      <c r="G174" s="65">
        <v>11</v>
      </c>
      <c r="H174" s="65">
        <v>5.5</v>
      </c>
      <c r="I174" s="65">
        <v>1.39</v>
      </c>
      <c r="J174" s="65">
        <v>25</v>
      </c>
      <c r="K174" s="65">
        <v>1.04</v>
      </c>
      <c r="L174" s="65">
        <v>16.100000000000001</v>
      </c>
      <c r="M174" s="65">
        <v>27.4</v>
      </c>
      <c r="N174" s="65">
        <v>1.66</v>
      </c>
      <c r="O174" s="68">
        <v>26</v>
      </c>
      <c r="P174" s="65">
        <v>34.5</v>
      </c>
      <c r="Q174" s="65">
        <v>0.43099999999999999</v>
      </c>
      <c r="R174" s="65">
        <v>17.600000000000001</v>
      </c>
      <c r="S174" s="65">
        <v>33.299999999999997</v>
      </c>
    </row>
    <row r="175" spans="1:19">
      <c r="A175" s="59"/>
      <c r="B175" s="271" t="s">
        <v>184</v>
      </c>
      <c r="C175" s="65" t="str">
        <f t="shared" si="8"/>
        <v>90x90x10</v>
      </c>
      <c r="D175" s="65" t="b">
        <f t="shared" si="9"/>
        <v>0</v>
      </c>
      <c r="E175" s="271" t="str">
        <f t="shared" si="10"/>
        <v>L 90x90x10</v>
      </c>
      <c r="F175" s="65">
        <v>13.4</v>
      </c>
      <c r="G175" s="65">
        <v>11</v>
      </c>
      <c r="H175" s="65">
        <v>5.5</v>
      </c>
      <c r="I175" s="65">
        <v>1.71</v>
      </c>
      <c r="J175" s="65">
        <v>25.8</v>
      </c>
      <c r="K175" s="65">
        <v>1.27</v>
      </c>
      <c r="L175" s="65">
        <v>19.8</v>
      </c>
      <c r="M175" s="65">
        <v>27.2</v>
      </c>
      <c r="N175" s="65">
        <v>2.0099999999999998</v>
      </c>
      <c r="O175" s="65">
        <v>31.6</v>
      </c>
      <c r="P175" s="65">
        <v>34.299999999999997</v>
      </c>
      <c r="Q175" s="65">
        <v>0.52600000000000002</v>
      </c>
      <c r="R175" s="65">
        <v>17.5</v>
      </c>
      <c r="S175" s="65">
        <v>62.4</v>
      </c>
    </row>
    <row r="176" spans="1:19">
      <c r="A176" s="59"/>
      <c r="B176" s="271" t="s">
        <v>185</v>
      </c>
      <c r="C176" s="65" t="str">
        <f t="shared" si="8"/>
        <v>90x90x12</v>
      </c>
      <c r="D176" s="65" t="b">
        <f t="shared" si="9"/>
        <v>0</v>
      </c>
      <c r="E176" s="271" t="str">
        <f t="shared" si="10"/>
        <v>L 90x90x12</v>
      </c>
      <c r="F176" s="65">
        <v>15.9</v>
      </c>
      <c r="G176" s="65">
        <v>11</v>
      </c>
      <c r="H176" s="65">
        <v>5.5</v>
      </c>
      <c r="I176" s="65">
        <v>2.0299999999999998</v>
      </c>
      <c r="J176" s="65">
        <v>26.6</v>
      </c>
      <c r="K176" s="65">
        <v>1.48</v>
      </c>
      <c r="L176" s="65">
        <v>23.3</v>
      </c>
      <c r="M176" s="68">
        <v>27</v>
      </c>
      <c r="N176" s="65">
        <v>2.34</v>
      </c>
      <c r="O176" s="65">
        <v>36.799999999999997</v>
      </c>
      <c r="P176" s="68">
        <v>34</v>
      </c>
      <c r="Q176" s="65">
        <v>0.61699999999999999</v>
      </c>
      <c r="R176" s="65">
        <v>17.399999999999999</v>
      </c>
      <c r="S176" s="65">
        <v>104</v>
      </c>
    </row>
    <row r="177" spans="1:19">
      <c r="A177" s="59"/>
      <c r="B177" s="271" t="s">
        <v>133</v>
      </c>
      <c r="C177" s="65" t="str">
        <f t="shared" si="8"/>
        <v/>
      </c>
      <c r="D177" s="65" t="b">
        <f t="shared" si="9"/>
        <v>1</v>
      </c>
      <c r="E177" s="271" t="str">
        <f t="shared" si="10"/>
        <v/>
      </c>
      <c r="F177" s="65" t="s">
        <v>135</v>
      </c>
      <c r="G177" s="65" t="s">
        <v>135</v>
      </c>
      <c r="H177" s="65" t="s">
        <v>135</v>
      </c>
      <c r="I177" s="65" t="s">
        <v>135</v>
      </c>
      <c r="J177" s="98"/>
      <c r="K177" s="65" t="s">
        <v>135</v>
      </c>
      <c r="L177" s="65" t="s">
        <v>135</v>
      </c>
      <c r="M177" s="65" t="s">
        <v>135</v>
      </c>
      <c r="N177" s="65" t="s">
        <v>135</v>
      </c>
      <c r="O177" s="65" t="s">
        <v>135</v>
      </c>
      <c r="P177" s="65" t="s">
        <v>135</v>
      </c>
      <c r="Q177" s="65" t="s">
        <v>135</v>
      </c>
      <c r="R177" s="98"/>
      <c r="S177" s="65"/>
    </row>
    <row r="178" spans="1:19">
      <c r="A178" s="59"/>
      <c r="B178" s="271" t="s">
        <v>186</v>
      </c>
      <c r="C178" s="65" t="str">
        <f t="shared" si="8"/>
        <v>100x100x8</v>
      </c>
      <c r="D178" s="65" t="b">
        <f t="shared" si="9"/>
        <v>0</v>
      </c>
      <c r="E178" s="271" t="str">
        <f t="shared" si="10"/>
        <v>L 100x100x8</v>
      </c>
      <c r="F178" s="65">
        <v>12.2</v>
      </c>
      <c r="G178" s="65">
        <v>12</v>
      </c>
      <c r="H178" s="65">
        <v>6</v>
      </c>
      <c r="I178" s="65">
        <v>1.55</v>
      </c>
      <c r="J178" s="65">
        <v>27.4</v>
      </c>
      <c r="K178" s="65">
        <v>1.45</v>
      </c>
      <c r="L178" s="65">
        <v>19.899999999999999</v>
      </c>
      <c r="M178" s="65">
        <v>30.6</v>
      </c>
      <c r="N178" s="67">
        <v>2.2999999999999998</v>
      </c>
      <c r="O178" s="65">
        <v>32.5</v>
      </c>
      <c r="P178" s="65">
        <v>38.5</v>
      </c>
      <c r="Q178" s="65">
        <v>0.59899999999999998</v>
      </c>
      <c r="R178" s="65">
        <v>19.600000000000001</v>
      </c>
      <c r="S178" s="65">
        <v>37.6</v>
      </c>
    </row>
    <row r="179" spans="1:19">
      <c r="A179" s="59"/>
      <c r="B179" s="271" t="s">
        <v>187</v>
      </c>
      <c r="C179" s="65" t="str">
        <f t="shared" si="8"/>
        <v>100x100x10</v>
      </c>
      <c r="D179" s="65" t="b">
        <f t="shared" si="9"/>
        <v>0</v>
      </c>
      <c r="E179" s="271" t="str">
        <f t="shared" si="10"/>
        <v>L 100x100x10</v>
      </c>
      <c r="F179" s="68">
        <v>15</v>
      </c>
      <c r="G179" s="65">
        <v>12</v>
      </c>
      <c r="H179" s="65">
        <v>6</v>
      </c>
      <c r="I179" s="65">
        <v>1.92</v>
      </c>
      <c r="J179" s="65">
        <v>28.2</v>
      </c>
      <c r="K179" s="65">
        <v>1.77</v>
      </c>
      <c r="L179" s="65">
        <v>24.6</v>
      </c>
      <c r="M179" s="65">
        <v>30.4</v>
      </c>
      <c r="N179" s="67">
        <v>2.8</v>
      </c>
      <c r="O179" s="65">
        <v>39.6</v>
      </c>
      <c r="P179" s="65">
        <v>38.299999999999997</v>
      </c>
      <c r="Q179" s="69">
        <v>0.73</v>
      </c>
      <c r="R179" s="65">
        <v>19.5</v>
      </c>
      <c r="S179" s="65">
        <v>70.3</v>
      </c>
    </row>
    <row r="180" spans="1:19">
      <c r="A180" s="59"/>
      <c r="B180" s="271" t="s">
        <v>188</v>
      </c>
      <c r="C180" s="65" t="str">
        <f t="shared" si="8"/>
        <v>100x100x12</v>
      </c>
      <c r="D180" s="65" t="b">
        <f t="shared" si="9"/>
        <v>0</v>
      </c>
      <c r="E180" s="271" t="str">
        <f t="shared" si="10"/>
        <v>L 100x100x12</v>
      </c>
      <c r="F180" s="65">
        <v>17.8</v>
      </c>
      <c r="G180" s="65">
        <v>12</v>
      </c>
      <c r="H180" s="65">
        <v>6</v>
      </c>
      <c r="I180" s="65">
        <v>2.27</v>
      </c>
      <c r="J180" s="65">
        <v>29</v>
      </c>
      <c r="K180" s="65">
        <v>2.0699999999999998</v>
      </c>
      <c r="L180" s="65">
        <v>29.1</v>
      </c>
      <c r="M180" s="65">
        <v>30.2</v>
      </c>
      <c r="N180" s="65">
        <v>3.28</v>
      </c>
      <c r="O180" s="65">
        <v>46.3</v>
      </c>
      <c r="P180" s="65">
        <v>38</v>
      </c>
      <c r="Q180" s="65">
        <v>0.85699999999999998</v>
      </c>
      <c r="R180" s="65">
        <v>19.399999999999999</v>
      </c>
      <c r="S180" s="65">
        <v>118</v>
      </c>
    </row>
    <row r="181" spans="1:19">
      <c r="A181" s="59"/>
      <c r="B181" s="271" t="s">
        <v>133</v>
      </c>
      <c r="C181" s="65" t="str">
        <f t="shared" si="8"/>
        <v/>
      </c>
      <c r="D181" s="65" t="b">
        <f t="shared" si="9"/>
        <v>1</v>
      </c>
      <c r="E181" s="271" t="str">
        <f t="shared" si="10"/>
        <v/>
      </c>
      <c r="F181" s="65" t="s">
        <v>135</v>
      </c>
      <c r="G181" s="65" t="s">
        <v>135</v>
      </c>
      <c r="H181" s="65" t="s">
        <v>135</v>
      </c>
      <c r="I181" s="65" t="s">
        <v>135</v>
      </c>
      <c r="J181" s="65"/>
      <c r="K181" s="65" t="s">
        <v>135</v>
      </c>
      <c r="L181" s="65" t="s">
        <v>135</v>
      </c>
      <c r="M181" s="65" t="s">
        <v>135</v>
      </c>
      <c r="N181" s="65" t="s">
        <v>135</v>
      </c>
      <c r="O181" s="65" t="s">
        <v>135</v>
      </c>
      <c r="P181" s="65" t="s">
        <v>135</v>
      </c>
      <c r="Q181" s="65" t="s">
        <v>135</v>
      </c>
      <c r="R181" s="98"/>
      <c r="S181" s="65"/>
    </row>
    <row r="182" spans="1:19">
      <c r="A182" s="59"/>
      <c r="B182" s="271" t="s">
        <v>189</v>
      </c>
      <c r="C182" s="65" t="str">
        <f t="shared" si="8"/>
        <v>120x120x8</v>
      </c>
      <c r="D182" s="65" t="b">
        <f t="shared" si="9"/>
        <v>0</v>
      </c>
      <c r="E182" s="271" t="str">
        <f t="shared" si="10"/>
        <v>L 120x120x8</v>
      </c>
      <c r="F182" s="65">
        <v>14.7</v>
      </c>
      <c r="G182" s="65">
        <v>13</v>
      </c>
      <c r="H182" s="65">
        <v>6.5</v>
      </c>
      <c r="I182" s="65">
        <v>1.87</v>
      </c>
      <c r="J182" s="65">
        <v>32.299999999999997</v>
      </c>
      <c r="K182" s="65">
        <v>2.5499999999999998</v>
      </c>
      <c r="L182" s="65">
        <v>29.1</v>
      </c>
      <c r="M182" s="65">
        <v>36.9</v>
      </c>
      <c r="N182" s="65">
        <v>4.05</v>
      </c>
      <c r="O182" s="65">
        <v>47.8</v>
      </c>
      <c r="P182" s="65">
        <v>46.5</v>
      </c>
      <c r="Q182" s="65">
        <v>1.05</v>
      </c>
      <c r="R182" s="65">
        <v>23.7</v>
      </c>
      <c r="S182" s="65">
        <v>45.4</v>
      </c>
    </row>
    <row r="183" spans="1:19">
      <c r="A183" s="59"/>
      <c r="B183" s="271" t="s">
        <v>190</v>
      </c>
      <c r="C183" s="65" t="str">
        <f t="shared" si="8"/>
        <v>120x120x10</v>
      </c>
      <c r="D183" s="65" t="b">
        <f t="shared" si="9"/>
        <v>0</v>
      </c>
      <c r="E183" s="271" t="str">
        <f t="shared" si="10"/>
        <v>L 120x120x10</v>
      </c>
      <c r="F183" s="65">
        <v>18.2</v>
      </c>
      <c r="G183" s="65">
        <v>13</v>
      </c>
      <c r="H183" s="65">
        <v>6.5</v>
      </c>
      <c r="I183" s="65">
        <v>2.3199999999999998</v>
      </c>
      <c r="J183" s="65">
        <v>33.1</v>
      </c>
      <c r="K183" s="65">
        <v>3.13</v>
      </c>
      <c r="L183" s="68">
        <v>36</v>
      </c>
      <c r="M183" s="65">
        <v>36.700000000000003</v>
      </c>
      <c r="N183" s="65">
        <v>4.97</v>
      </c>
      <c r="O183" s="65">
        <v>58.6</v>
      </c>
      <c r="P183" s="65">
        <v>46.3</v>
      </c>
      <c r="Q183" s="65">
        <v>1.29</v>
      </c>
      <c r="R183" s="65">
        <v>23.6</v>
      </c>
      <c r="S183" s="65">
        <v>85.1</v>
      </c>
    </row>
    <row r="184" spans="1:19">
      <c r="A184" s="59"/>
      <c r="B184" s="271" t="s">
        <v>191</v>
      </c>
      <c r="C184" s="65" t="str">
        <f t="shared" si="8"/>
        <v>120x120x12</v>
      </c>
      <c r="D184" s="65" t="b">
        <f t="shared" si="9"/>
        <v>0</v>
      </c>
      <c r="E184" s="271" t="str">
        <f t="shared" si="10"/>
        <v>L 120x120x12</v>
      </c>
      <c r="F184" s="65">
        <v>21.6</v>
      </c>
      <c r="G184" s="65">
        <v>13</v>
      </c>
      <c r="H184" s="65">
        <v>6.5</v>
      </c>
      <c r="I184" s="65">
        <v>2.75</v>
      </c>
      <c r="J184" s="65">
        <v>34</v>
      </c>
      <c r="K184" s="65">
        <v>3.68</v>
      </c>
      <c r="L184" s="65">
        <v>42.7</v>
      </c>
      <c r="M184" s="65">
        <v>36.5</v>
      </c>
      <c r="N184" s="65">
        <v>5.84</v>
      </c>
      <c r="O184" s="65">
        <v>68.8</v>
      </c>
      <c r="P184" s="68">
        <v>46</v>
      </c>
      <c r="Q184" s="65">
        <v>1.52</v>
      </c>
      <c r="R184" s="65">
        <v>23.5</v>
      </c>
      <c r="S184" s="65">
        <v>143</v>
      </c>
    </row>
    <row r="185" spans="1:19">
      <c r="A185" s="59"/>
      <c r="B185" s="271" t="s">
        <v>192</v>
      </c>
      <c r="C185" s="65" t="str">
        <f t="shared" si="8"/>
        <v>120x120x15</v>
      </c>
      <c r="D185" s="65" t="b">
        <f t="shared" si="9"/>
        <v>0</v>
      </c>
      <c r="E185" s="271" t="str">
        <f t="shared" si="10"/>
        <v>L 120x120x15</v>
      </c>
      <c r="F185" s="65">
        <v>26.6</v>
      </c>
      <c r="G185" s="65">
        <v>13</v>
      </c>
      <c r="H185" s="65">
        <v>6.5</v>
      </c>
      <c r="I185" s="65">
        <v>3.39</v>
      </c>
      <c r="J185" s="65">
        <v>35.1</v>
      </c>
      <c r="K185" s="65">
        <v>4.45</v>
      </c>
      <c r="L185" s="65">
        <v>52.4</v>
      </c>
      <c r="M185" s="65">
        <v>36.200000000000003</v>
      </c>
      <c r="N185" s="65">
        <v>7.05</v>
      </c>
      <c r="O185" s="65">
        <v>83.1</v>
      </c>
      <c r="P185" s="65">
        <v>45.6</v>
      </c>
      <c r="Q185" s="65">
        <v>1.85</v>
      </c>
      <c r="R185" s="65">
        <v>23.3</v>
      </c>
      <c r="S185" s="65">
        <v>269</v>
      </c>
    </row>
    <row r="186" spans="1:19">
      <c r="A186" s="59"/>
      <c r="B186" s="271" t="s">
        <v>133</v>
      </c>
      <c r="C186" s="65" t="str">
        <f t="shared" si="8"/>
        <v/>
      </c>
      <c r="D186" s="65" t="b">
        <f t="shared" si="9"/>
        <v>1</v>
      </c>
      <c r="E186" s="271" t="str">
        <f t="shared" si="10"/>
        <v/>
      </c>
      <c r="F186" s="65" t="s">
        <v>135</v>
      </c>
      <c r="G186" s="65" t="s">
        <v>135</v>
      </c>
      <c r="H186" s="65" t="s">
        <v>135</v>
      </c>
      <c r="I186" s="65" t="s">
        <v>135</v>
      </c>
      <c r="J186" s="98"/>
      <c r="K186" s="65" t="s">
        <v>135</v>
      </c>
      <c r="L186" s="65" t="s">
        <v>135</v>
      </c>
      <c r="M186" s="65" t="s">
        <v>135</v>
      </c>
      <c r="N186" s="65" t="s">
        <v>135</v>
      </c>
      <c r="O186" s="65" t="s">
        <v>135</v>
      </c>
      <c r="P186" s="65" t="s">
        <v>135</v>
      </c>
      <c r="Q186" s="65" t="s">
        <v>135</v>
      </c>
      <c r="R186" s="98"/>
      <c r="S186" s="65"/>
    </row>
    <row r="187" spans="1:19">
      <c r="A187" s="59"/>
      <c r="B187" s="271" t="s">
        <v>193</v>
      </c>
      <c r="C187" s="65" t="str">
        <f t="shared" si="8"/>
        <v>150x150x10</v>
      </c>
      <c r="D187" s="65" t="b">
        <f t="shared" si="9"/>
        <v>0</v>
      </c>
      <c r="E187" s="271" t="str">
        <f t="shared" si="10"/>
        <v>L 150x150x10</v>
      </c>
      <c r="F187" s="68">
        <v>23</v>
      </c>
      <c r="G187" s="65">
        <v>16</v>
      </c>
      <c r="H187" s="65">
        <v>8</v>
      </c>
      <c r="I187" s="65">
        <v>2.93</v>
      </c>
      <c r="J187" s="65">
        <v>40.299999999999997</v>
      </c>
      <c r="K187" s="65">
        <v>6.24</v>
      </c>
      <c r="L187" s="65">
        <v>56.9</v>
      </c>
      <c r="M187" s="65">
        <v>46.2</v>
      </c>
      <c r="N187" s="65">
        <v>9.91</v>
      </c>
      <c r="O187" s="65">
        <v>93.4</v>
      </c>
      <c r="P187" s="65">
        <v>58.2</v>
      </c>
      <c r="Q187" s="65">
        <v>2.58</v>
      </c>
      <c r="R187" s="65">
        <v>29.7</v>
      </c>
      <c r="S187" s="65">
        <v>110</v>
      </c>
    </row>
    <row r="188" spans="1:19">
      <c r="A188" s="59"/>
      <c r="B188" s="271" t="s">
        <v>194</v>
      </c>
      <c r="C188" s="65" t="str">
        <f t="shared" si="8"/>
        <v>150x150x12</v>
      </c>
      <c r="D188" s="65" t="b">
        <f t="shared" si="9"/>
        <v>0</v>
      </c>
      <c r="E188" s="271" t="str">
        <f t="shared" si="10"/>
        <v>L 150x150x12</v>
      </c>
      <c r="F188" s="65">
        <v>27.3</v>
      </c>
      <c r="G188" s="65">
        <v>16</v>
      </c>
      <c r="H188" s="65">
        <v>8</v>
      </c>
      <c r="I188" s="65">
        <v>3.48</v>
      </c>
      <c r="J188" s="65">
        <v>41.2</v>
      </c>
      <c r="K188" s="65">
        <v>7.37</v>
      </c>
      <c r="L188" s="65">
        <v>67.7</v>
      </c>
      <c r="M188" s="68">
        <v>46</v>
      </c>
      <c r="N188" s="65">
        <v>11.7</v>
      </c>
      <c r="O188" s="65">
        <v>110</v>
      </c>
      <c r="P188" s="68">
        <v>58</v>
      </c>
      <c r="Q188" s="65">
        <v>3.03</v>
      </c>
      <c r="R188" s="65">
        <v>29.5</v>
      </c>
      <c r="S188" s="65">
        <v>184</v>
      </c>
    </row>
    <row r="189" spans="1:19">
      <c r="A189" s="59"/>
      <c r="B189" s="271" t="s">
        <v>195</v>
      </c>
      <c r="C189" s="65" t="str">
        <f t="shared" si="8"/>
        <v>150x150x15</v>
      </c>
      <c r="D189" s="65" t="b">
        <f t="shared" si="9"/>
        <v>0</v>
      </c>
      <c r="E189" s="271" t="str">
        <f t="shared" si="10"/>
        <v>L 150x150x15</v>
      </c>
      <c r="F189" s="65">
        <v>33.799999999999997</v>
      </c>
      <c r="G189" s="65">
        <v>16</v>
      </c>
      <c r="H189" s="65">
        <v>8</v>
      </c>
      <c r="I189" s="67">
        <v>4.3</v>
      </c>
      <c r="J189" s="65">
        <v>42.5</v>
      </c>
      <c r="K189" s="65">
        <v>8.98</v>
      </c>
      <c r="L189" s="65">
        <v>83.5</v>
      </c>
      <c r="M189" s="65">
        <v>45.7</v>
      </c>
      <c r="N189" s="65">
        <v>14.3</v>
      </c>
      <c r="O189" s="65">
        <v>134</v>
      </c>
      <c r="P189" s="65">
        <v>57.6</v>
      </c>
      <c r="Q189" s="67">
        <v>3.7</v>
      </c>
      <c r="R189" s="65">
        <v>29.3</v>
      </c>
      <c r="S189" s="65">
        <v>347</v>
      </c>
    </row>
    <row r="190" spans="1:19">
      <c r="A190" s="59"/>
      <c r="B190" s="271" t="s">
        <v>196</v>
      </c>
      <c r="C190" s="65" t="str">
        <f t="shared" si="8"/>
        <v>150x150x18</v>
      </c>
      <c r="D190" s="65" t="b">
        <f t="shared" si="9"/>
        <v>0</v>
      </c>
      <c r="E190" s="271" t="str">
        <f t="shared" si="10"/>
        <v>L 150x150x18</v>
      </c>
      <c r="F190" s="65">
        <v>40.1</v>
      </c>
      <c r="G190" s="65">
        <v>16</v>
      </c>
      <c r="H190" s="65">
        <v>8</v>
      </c>
      <c r="I190" s="67">
        <v>5.0999999999999996</v>
      </c>
      <c r="J190" s="65">
        <v>43.7</v>
      </c>
      <c r="K190" s="65">
        <v>10.5</v>
      </c>
      <c r="L190" s="65">
        <v>98.7</v>
      </c>
      <c r="M190" s="65">
        <v>45.4</v>
      </c>
      <c r="N190" s="65">
        <v>16.600000000000001</v>
      </c>
      <c r="O190" s="65">
        <v>157</v>
      </c>
      <c r="P190" s="65">
        <v>57.1</v>
      </c>
      <c r="Q190" s="65">
        <v>4.3499999999999996</v>
      </c>
      <c r="R190" s="65">
        <v>29.2</v>
      </c>
      <c r="S190" s="65">
        <v>584</v>
      </c>
    </row>
    <row r="191" spans="1:19" ht="12.75" customHeight="1">
      <c r="A191" s="58"/>
      <c r="B191" s="271" t="s">
        <v>133</v>
      </c>
      <c r="C191" s="65" t="str">
        <f t="shared" si="8"/>
        <v/>
      </c>
      <c r="D191" s="65" t="b">
        <f t="shared" si="9"/>
        <v>1</v>
      </c>
      <c r="E191" s="271" t="str">
        <f t="shared" si="10"/>
        <v/>
      </c>
      <c r="F191" s="65" t="s">
        <v>135</v>
      </c>
      <c r="G191" s="65" t="s">
        <v>135</v>
      </c>
      <c r="H191" s="65" t="s">
        <v>135</v>
      </c>
      <c r="I191" s="65" t="s">
        <v>135</v>
      </c>
      <c r="J191" s="98"/>
      <c r="K191" s="65" t="s">
        <v>135</v>
      </c>
      <c r="L191" s="65" t="s">
        <v>135</v>
      </c>
      <c r="M191" s="65" t="s">
        <v>135</v>
      </c>
      <c r="N191" s="65" t="s">
        <v>135</v>
      </c>
      <c r="O191" s="65" t="s">
        <v>135</v>
      </c>
      <c r="P191" s="65" t="s">
        <v>135</v>
      </c>
      <c r="Q191" s="65" t="s">
        <v>135</v>
      </c>
      <c r="R191" s="98"/>
      <c r="S191" s="65"/>
    </row>
    <row r="192" spans="1:19">
      <c r="A192" s="58"/>
      <c r="B192" s="271" t="s">
        <v>197</v>
      </c>
      <c r="C192" s="65" t="str">
        <f t="shared" si="8"/>
        <v>200x200x16</v>
      </c>
      <c r="D192" s="65" t="b">
        <f t="shared" si="9"/>
        <v>0</v>
      </c>
      <c r="E192" s="271" t="str">
        <f t="shared" si="10"/>
        <v>L 200x200x16</v>
      </c>
      <c r="F192" s="65">
        <v>48.5</v>
      </c>
      <c r="G192" s="65">
        <v>18</v>
      </c>
      <c r="H192" s="65">
        <v>9</v>
      </c>
      <c r="I192" s="65">
        <v>6.18</v>
      </c>
      <c r="J192" s="65">
        <v>55.2</v>
      </c>
      <c r="K192" s="65">
        <v>23.4</v>
      </c>
      <c r="L192" s="65">
        <v>162</v>
      </c>
      <c r="M192" s="65">
        <v>61.6</v>
      </c>
      <c r="N192" s="65">
        <v>37.200000000000003</v>
      </c>
      <c r="O192" s="65">
        <v>263</v>
      </c>
      <c r="P192" s="65">
        <v>77.599999999999994</v>
      </c>
      <c r="Q192" s="67">
        <v>9.6</v>
      </c>
      <c r="R192" s="65">
        <v>39.4</v>
      </c>
      <c r="S192" s="65">
        <v>564</v>
      </c>
    </row>
    <row r="193" spans="1:21">
      <c r="A193" s="58"/>
      <c r="B193" s="271" t="s">
        <v>198</v>
      </c>
      <c r="C193" s="65" t="str">
        <f t="shared" si="8"/>
        <v>200x200x18</v>
      </c>
      <c r="D193" s="65" t="b">
        <f t="shared" si="9"/>
        <v>0</v>
      </c>
      <c r="E193" s="271" t="str">
        <f t="shared" si="10"/>
        <v>L 200x200x18</v>
      </c>
      <c r="F193" s="65">
        <v>54.2</v>
      </c>
      <c r="G193" s="65">
        <v>18</v>
      </c>
      <c r="H193" s="65">
        <v>9</v>
      </c>
      <c r="I193" s="65">
        <v>6.91</v>
      </c>
      <c r="J193" s="65">
        <v>56</v>
      </c>
      <c r="K193" s="68">
        <v>26</v>
      </c>
      <c r="L193" s="65">
        <v>181</v>
      </c>
      <c r="M193" s="65">
        <v>61.3</v>
      </c>
      <c r="N193" s="65">
        <v>41.3</v>
      </c>
      <c r="O193" s="65">
        <v>292</v>
      </c>
      <c r="P193" s="65">
        <v>77.3</v>
      </c>
      <c r="Q193" s="65">
        <v>10.7</v>
      </c>
      <c r="R193" s="65">
        <v>39.299999999999997</v>
      </c>
      <c r="S193" s="65">
        <v>790</v>
      </c>
    </row>
    <row r="194" spans="1:21">
      <c r="A194" s="58"/>
      <c r="B194" s="271" t="s">
        <v>199</v>
      </c>
      <c r="C194" s="65" t="str">
        <f t="shared" si="8"/>
        <v>200x200x20</v>
      </c>
      <c r="D194" s="65" t="b">
        <f t="shared" si="9"/>
        <v>0</v>
      </c>
      <c r="E194" s="271" t="str">
        <f t="shared" si="10"/>
        <v>L 200x200x20</v>
      </c>
      <c r="F194" s="65">
        <v>59.9</v>
      </c>
      <c r="G194" s="65">
        <v>18</v>
      </c>
      <c r="H194" s="65">
        <v>9</v>
      </c>
      <c r="I194" s="65">
        <v>7.63</v>
      </c>
      <c r="J194" s="65">
        <v>56.8</v>
      </c>
      <c r="K194" s="65">
        <v>28.5</v>
      </c>
      <c r="L194" s="65">
        <v>199</v>
      </c>
      <c r="M194" s="65">
        <v>61.1</v>
      </c>
      <c r="N194" s="65">
        <v>45.3</v>
      </c>
      <c r="O194" s="65">
        <v>320</v>
      </c>
      <c r="P194" s="68">
        <v>77</v>
      </c>
      <c r="Q194" s="65">
        <v>11.7</v>
      </c>
      <c r="R194" s="65">
        <v>39.200000000000003</v>
      </c>
      <c r="S194" s="65">
        <v>1070</v>
      </c>
    </row>
    <row r="195" spans="1:21">
      <c r="A195" s="58"/>
      <c r="B195" s="273" t="s">
        <v>200</v>
      </c>
      <c r="C195" s="66"/>
      <c r="D195" s="66"/>
      <c r="E195" s="273"/>
      <c r="F195" s="66">
        <v>71.099999999999994</v>
      </c>
      <c r="G195" s="66">
        <v>18</v>
      </c>
      <c r="H195" s="66">
        <v>9</v>
      </c>
      <c r="I195" s="66">
        <v>9.06</v>
      </c>
      <c r="J195" s="66">
        <v>58.4</v>
      </c>
      <c r="K195" s="66">
        <v>33.299999999999997</v>
      </c>
      <c r="L195" s="66">
        <v>235</v>
      </c>
      <c r="M195" s="66">
        <v>60.6</v>
      </c>
      <c r="N195" s="66">
        <v>52.8</v>
      </c>
      <c r="O195" s="66">
        <v>374</v>
      </c>
      <c r="P195" s="66">
        <v>76.400000000000006</v>
      </c>
      <c r="Q195" s="66">
        <v>13.8</v>
      </c>
      <c r="R195" s="66">
        <v>39</v>
      </c>
      <c r="S195" s="66">
        <v>1800</v>
      </c>
    </row>
    <row r="196" spans="1:21" ht="18">
      <c r="A196" s="58"/>
      <c r="B196" s="295" t="s">
        <v>542</v>
      </c>
      <c r="C196" s="295"/>
      <c r="D196" s="295"/>
      <c r="E196" s="295"/>
      <c r="F196" s="295"/>
      <c r="G196" s="295"/>
      <c r="H196" s="295"/>
      <c r="I196" s="295"/>
      <c r="J196" s="295"/>
      <c r="K196" s="295"/>
    </row>
    <row r="197" spans="1:21">
      <c r="A197" s="58"/>
    </row>
    <row r="198" spans="1:21">
      <c r="A198" s="58"/>
    </row>
    <row r="199" spans="1:21" ht="23.25">
      <c r="A199" s="58"/>
      <c r="B199" s="267" t="s">
        <v>229</v>
      </c>
      <c r="C199" s="1"/>
      <c r="D199" s="1"/>
      <c r="E199" s="267"/>
    </row>
    <row r="200" spans="1:21" ht="23.25">
      <c r="A200" s="58"/>
      <c r="B200" s="267"/>
      <c r="C200" s="1"/>
      <c r="D200" s="1"/>
      <c r="E200" s="267"/>
    </row>
    <row r="201" spans="1:21" ht="15.75">
      <c r="A201" s="58"/>
      <c r="B201" s="290" t="s">
        <v>139</v>
      </c>
      <c r="C201" s="132"/>
      <c r="D201" s="132"/>
      <c r="E201" s="269"/>
      <c r="F201" s="289" t="s">
        <v>48</v>
      </c>
      <c r="G201" s="289" t="s">
        <v>452</v>
      </c>
      <c r="H201" s="289" t="s">
        <v>453</v>
      </c>
      <c r="I201" s="289" t="s">
        <v>142</v>
      </c>
      <c r="J201" s="289" t="s">
        <v>524</v>
      </c>
      <c r="K201" s="289" t="s">
        <v>529</v>
      </c>
      <c r="L201" s="323" t="s">
        <v>463</v>
      </c>
      <c r="M201" s="291" t="s">
        <v>437</v>
      </c>
      <c r="N201" s="291"/>
      <c r="O201" s="291"/>
      <c r="P201" s="320" t="s">
        <v>438</v>
      </c>
      <c r="Q201" s="291"/>
      <c r="R201" s="291"/>
      <c r="S201" s="299" t="s">
        <v>540</v>
      </c>
      <c r="T201" s="289" t="s">
        <v>419</v>
      </c>
    </row>
    <row r="202" spans="1:21" ht="19.5" customHeight="1">
      <c r="A202" s="58"/>
      <c r="B202" s="290"/>
      <c r="C202" s="132"/>
      <c r="D202" s="132"/>
      <c r="E202" s="269"/>
      <c r="F202" s="289"/>
      <c r="G202" s="289"/>
      <c r="H202" s="289"/>
      <c r="I202" s="289"/>
      <c r="J202" s="289"/>
      <c r="K202" s="289"/>
      <c r="L202" s="323"/>
      <c r="M202" s="95" t="s">
        <v>514</v>
      </c>
      <c r="N202" s="95" t="s">
        <v>516</v>
      </c>
      <c r="O202" s="95" t="s">
        <v>515</v>
      </c>
      <c r="P202" s="95" t="s">
        <v>514</v>
      </c>
      <c r="Q202" s="95" t="s">
        <v>516</v>
      </c>
      <c r="R202" s="95" t="s">
        <v>418</v>
      </c>
      <c r="S202" s="300"/>
      <c r="T202" s="289"/>
    </row>
    <row r="203" spans="1:21" ht="15.75" customHeight="1">
      <c r="A203" s="58"/>
      <c r="B203" s="270" t="s">
        <v>528</v>
      </c>
      <c r="C203" s="128"/>
      <c r="D203" s="128"/>
      <c r="E203" s="270"/>
      <c r="F203" s="128" t="s">
        <v>47</v>
      </c>
      <c r="G203" s="128" t="s">
        <v>49</v>
      </c>
      <c r="H203" s="5" t="s">
        <v>146</v>
      </c>
      <c r="I203" s="128" t="s">
        <v>508</v>
      </c>
      <c r="J203" s="5" t="s">
        <v>420</v>
      </c>
      <c r="K203" s="134" t="s">
        <v>420</v>
      </c>
      <c r="L203" s="5" t="s">
        <v>464</v>
      </c>
      <c r="M203" s="128" t="s">
        <v>509</v>
      </c>
      <c r="N203" s="128" t="s">
        <v>510</v>
      </c>
      <c r="O203" s="128" t="s">
        <v>146</v>
      </c>
      <c r="P203" s="128" t="s">
        <v>509</v>
      </c>
      <c r="Q203" s="128" t="s">
        <v>510</v>
      </c>
      <c r="R203" s="128" t="s">
        <v>420</v>
      </c>
      <c r="S203" s="5" t="s">
        <v>420</v>
      </c>
      <c r="T203" s="128" t="s">
        <v>511</v>
      </c>
    </row>
    <row r="204" spans="1:21">
      <c r="A204" s="58"/>
      <c r="B204" s="271"/>
      <c r="C204" s="65"/>
      <c r="D204" s="65"/>
      <c r="E204" s="271"/>
      <c r="F204" s="65"/>
      <c r="G204" s="65"/>
      <c r="H204" s="65"/>
      <c r="I204" s="57"/>
      <c r="J204" s="98"/>
      <c r="K204" s="98"/>
      <c r="L204" s="98"/>
      <c r="M204" s="65"/>
      <c r="N204" s="65"/>
      <c r="O204" s="65"/>
      <c r="P204" s="65"/>
      <c r="Q204" s="65"/>
      <c r="R204" s="65"/>
      <c r="S204" s="98"/>
      <c r="T204" s="135"/>
      <c r="U204" s="136"/>
    </row>
    <row r="205" spans="1:21">
      <c r="A205" s="58"/>
      <c r="B205" s="271" t="s">
        <v>201</v>
      </c>
      <c r="C205" s="65"/>
      <c r="D205" s="65"/>
      <c r="E205" s="271"/>
      <c r="F205" s="65">
        <v>5.16</v>
      </c>
      <c r="G205" s="65">
        <v>6</v>
      </c>
      <c r="H205" s="65">
        <v>3</v>
      </c>
      <c r="I205" s="57">
        <v>0.65800000000000003</v>
      </c>
      <c r="J205" s="68">
        <v>20.399999999999999</v>
      </c>
      <c r="K205" s="68">
        <v>12.9</v>
      </c>
      <c r="L205" s="68">
        <v>29.9</v>
      </c>
      <c r="M205" s="65">
        <v>0.27200000000000002</v>
      </c>
      <c r="N205" s="67">
        <v>6.1</v>
      </c>
      <c r="O205" s="65">
        <v>20.3</v>
      </c>
      <c r="P205" s="69">
        <v>0.14000000000000001</v>
      </c>
      <c r="Q205" s="65">
        <v>3.77</v>
      </c>
      <c r="R205" s="65">
        <v>14.6</v>
      </c>
      <c r="S205" s="68">
        <v>10.6</v>
      </c>
      <c r="T205" s="131">
        <v>8.44</v>
      </c>
      <c r="U205" s="136"/>
    </row>
    <row r="206" spans="1:21">
      <c r="A206" s="58"/>
      <c r="B206" s="271" t="s">
        <v>202</v>
      </c>
      <c r="C206" s="65"/>
      <c r="D206" s="65"/>
      <c r="E206" s="271"/>
      <c r="F206" s="65">
        <v>6.75</v>
      </c>
      <c r="G206" s="65">
        <v>6</v>
      </c>
      <c r="H206" s="65">
        <v>3</v>
      </c>
      <c r="I206" s="101">
        <v>0.86</v>
      </c>
      <c r="J206" s="68">
        <v>21.1</v>
      </c>
      <c r="K206" s="68">
        <v>13.7</v>
      </c>
      <c r="L206" s="68">
        <v>29.7</v>
      </c>
      <c r="M206" s="65">
        <v>0.34799999999999998</v>
      </c>
      <c r="N206" s="65">
        <v>7.93</v>
      </c>
      <c r="O206" s="65">
        <v>20.100000000000001</v>
      </c>
      <c r="P206" s="65">
        <v>0.17699999999999999</v>
      </c>
      <c r="Q206" s="65">
        <v>4.8899999999999997</v>
      </c>
      <c r="R206" s="65">
        <v>14.4</v>
      </c>
      <c r="S206" s="68">
        <v>10.5</v>
      </c>
      <c r="T206" s="131">
        <v>19.100000000000001</v>
      </c>
      <c r="U206" s="136"/>
    </row>
    <row r="207" spans="1:21">
      <c r="A207" s="58"/>
      <c r="B207" s="271" t="s">
        <v>133</v>
      </c>
      <c r="C207" s="65"/>
      <c r="D207" s="65"/>
      <c r="E207" s="271"/>
      <c r="F207" s="65" t="s">
        <v>135</v>
      </c>
      <c r="G207" s="65" t="s">
        <v>135</v>
      </c>
      <c r="H207" s="65" t="s">
        <v>135</v>
      </c>
      <c r="I207" s="57" t="s">
        <v>135</v>
      </c>
      <c r="J207" s="68"/>
      <c r="K207" s="68"/>
      <c r="L207" s="68"/>
      <c r="M207" s="65" t="s">
        <v>135</v>
      </c>
      <c r="N207" s="65" t="s">
        <v>135</v>
      </c>
      <c r="O207" s="65" t="s">
        <v>135</v>
      </c>
      <c r="P207" s="65" t="s">
        <v>135</v>
      </c>
      <c r="Q207" s="65" t="s">
        <v>135</v>
      </c>
      <c r="R207" s="65" t="s">
        <v>135</v>
      </c>
      <c r="S207" s="68"/>
      <c r="T207" s="131"/>
      <c r="U207" s="136"/>
    </row>
    <row r="208" spans="1:21">
      <c r="A208" s="58"/>
      <c r="B208" s="271" t="s">
        <v>203</v>
      </c>
      <c r="C208" s="65"/>
      <c r="D208" s="65"/>
      <c r="E208" s="271"/>
      <c r="F208" s="65">
        <v>5.65</v>
      </c>
      <c r="G208" s="65">
        <v>7</v>
      </c>
      <c r="H208" s="65">
        <v>3.5</v>
      </c>
      <c r="I208" s="57">
        <v>0.71899999999999997</v>
      </c>
      <c r="J208" s="68">
        <v>24.4</v>
      </c>
      <c r="K208" s="68">
        <v>12.1</v>
      </c>
      <c r="L208" s="68">
        <v>23.5</v>
      </c>
      <c r="M208" s="65">
        <v>0.40500000000000003</v>
      </c>
      <c r="N208" s="65">
        <v>8.01</v>
      </c>
      <c r="O208" s="65">
        <v>23.7</v>
      </c>
      <c r="P208" s="65">
        <v>0.14399999999999999</v>
      </c>
      <c r="Q208" s="65">
        <v>3.81</v>
      </c>
      <c r="R208" s="65">
        <v>14.2</v>
      </c>
      <c r="S208" s="68">
        <v>10.8</v>
      </c>
      <c r="T208" s="131">
        <v>9.42</v>
      </c>
      <c r="U208" s="136"/>
    </row>
    <row r="209" spans="1:21">
      <c r="A209" s="58"/>
      <c r="B209" s="271" t="s">
        <v>204</v>
      </c>
      <c r="C209" s="65"/>
      <c r="D209" s="65"/>
      <c r="E209" s="271"/>
      <c r="F209" s="65">
        <v>7.39</v>
      </c>
      <c r="G209" s="65">
        <v>7</v>
      </c>
      <c r="H209" s="65">
        <v>3.5</v>
      </c>
      <c r="I209" s="57">
        <v>0.94099999999999995</v>
      </c>
      <c r="J209" s="68">
        <v>25.2</v>
      </c>
      <c r="K209" s="68">
        <v>12.9</v>
      </c>
      <c r="L209" s="68">
        <v>23.3</v>
      </c>
      <c r="M209" s="69">
        <v>0.52</v>
      </c>
      <c r="N209" s="65">
        <v>10.4</v>
      </c>
      <c r="O209" s="65">
        <v>23.5</v>
      </c>
      <c r="P209" s="65">
        <v>0.184</v>
      </c>
      <c r="Q209" s="65">
        <v>4.95</v>
      </c>
      <c r="R209" s="68">
        <v>14</v>
      </c>
      <c r="S209" s="68">
        <v>10.7</v>
      </c>
      <c r="T209" s="131">
        <v>21.3</v>
      </c>
      <c r="U209" s="136"/>
    </row>
    <row r="210" spans="1:21">
      <c r="A210" s="58"/>
      <c r="B210" s="271" t="s">
        <v>133</v>
      </c>
      <c r="C210" s="65"/>
      <c r="D210" s="65"/>
      <c r="E210" s="271"/>
      <c r="F210" s="65" t="s">
        <v>135</v>
      </c>
      <c r="G210" s="65" t="s">
        <v>135</v>
      </c>
      <c r="H210" s="65" t="s">
        <v>135</v>
      </c>
      <c r="I210" s="57" t="s">
        <v>135</v>
      </c>
      <c r="J210" s="68"/>
      <c r="K210" s="68"/>
      <c r="L210" s="68"/>
      <c r="M210" s="65" t="s">
        <v>135</v>
      </c>
      <c r="N210" s="65" t="s">
        <v>135</v>
      </c>
      <c r="O210" s="65" t="s">
        <v>135</v>
      </c>
      <c r="P210" s="65" t="s">
        <v>135</v>
      </c>
      <c r="Q210" s="65" t="s">
        <v>135</v>
      </c>
      <c r="R210" s="65" t="s">
        <v>135</v>
      </c>
      <c r="S210" s="68"/>
      <c r="T210" s="131"/>
      <c r="U210" s="136"/>
    </row>
    <row r="211" spans="1:21">
      <c r="A211" s="58"/>
      <c r="B211" s="271" t="s">
        <v>205</v>
      </c>
      <c r="C211" s="65"/>
      <c r="D211" s="65"/>
      <c r="E211" s="271"/>
      <c r="F211" s="65">
        <v>6.37</v>
      </c>
      <c r="G211" s="65">
        <v>8</v>
      </c>
      <c r="H211" s="65">
        <v>4</v>
      </c>
      <c r="I211" s="57">
        <v>0.81100000000000005</v>
      </c>
      <c r="J211" s="68">
        <v>24.7</v>
      </c>
      <c r="K211" s="68">
        <v>14.8</v>
      </c>
      <c r="L211" s="68">
        <v>28.7</v>
      </c>
      <c r="M211" s="65">
        <v>0.51400000000000001</v>
      </c>
      <c r="N211" s="65">
        <v>9.2899999999999991</v>
      </c>
      <c r="O211" s="65">
        <v>25.2</v>
      </c>
      <c r="P211" s="65">
        <v>0.248</v>
      </c>
      <c r="Q211" s="65">
        <v>5.49</v>
      </c>
      <c r="R211" s="65">
        <v>17.5</v>
      </c>
      <c r="S211" s="68">
        <v>12.9</v>
      </c>
      <c r="T211" s="131">
        <v>10.8</v>
      </c>
      <c r="U211" s="136"/>
    </row>
    <row r="212" spans="1:21" ht="12.75" customHeight="1">
      <c r="A212" s="59"/>
      <c r="B212" s="271" t="s">
        <v>206</v>
      </c>
      <c r="C212" s="65"/>
      <c r="D212" s="65"/>
      <c r="E212" s="271"/>
      <c r="F212" s="65">
        <v>8.34</v>
      </c>
      <c r="G212" s="65">
        <v>8</v>
      </c>
      <c r="H212" s="65">
        <v>4</v>
      </c>
      <c r="I212" s="57">
        <v>1.06</v>
      </c>
      <c r="J212" s="68">
        <v>25.5</v>
      </c>
      <c r="K212" s="68">
        <v>15.6</v>
      </c>
      <c r="L212" s="68">
        <v>28.6</v>
      </c>
      <c r="M212" s="65">
        <v>0.66300000000000003</v>
      </c>
      <c r="N212" s="65">
        <v>12.2</v>
      </c>
      <c r="O212" s="68">
        <v>25</v>
      </c>
      <c r="P212" s="65">
        <v>0.318</v>
      </c>
      <c r="Q212" s="65">
        <v>7.16</v>
      </c>
      <c r="R212" s="65">
        <v>17.3</v>
      </c>
      <c r="S212" s="68">
        <v>12.7</v>
      </c>
      <c r="T212" s="131">
        <v>24.4</v>
      </c>
      <c r="U212" s="136"/>
    </row>
    <row r="213" spans="1:21">
      <c r="A213" s="59"/>
      <c r="B213" s="271" t="s">
        <v>133</v>
      </c>
      <c r="C213" s="65"/>
      <c r="D213" s="65"/>
      <c r="E213" s="271"/>
      <c r="F213" s="65" t="s">
        <v>135</v>
      </c>
      <c r="G213" s="65" t="s">
        <v>135</v>
      </c>
      <c r="H213" s="65" t="s">
        <v>135</v>
      </c>
      <c r="I213" s="57" t="s">
        <v>135</v>
      </c>
      <c r="J213" s="68"/>
      <c r="K213" s="68"/>
      <c r="L213" s="68"/>
      <c r="M213" s="65" t="s">
        <v>135</v>
      </c>
      <c r="N213" s="65" t="s">
        <v>135</v>
      </c>
      <c r="O213" s="65" t="s">
        <v>135</v>
      </c>
      <c r="P213" s="65" t="s">
        <v>135</v>
      </c>
      <c r="Q213" s="65" t="s">
        <v>135</v>
      </c>
      <c r="R213" s="65" t="s">
        <v>135</v>
      </c>
      <c r="S213" s="68"/>
      <c r="T213" s="131"/>
      <c r="U213" s="136"/>
    </row>
    <row r="214" spans="1:21">
      <c r="A214" s="59"/>
      <c r="B214" s="271" t="s">
        <v>207</v>
      </c>
      <c r="C214" s="65"/>
      <c r="D214" s="65"/>
      <c r="E214" s="271"/>
      <c r="F214" s="65">
        <v>7.07</v>
      </c>
      <c r="G214" s="65">
        <v>8</v>
      </c>
      <c r="H214" s="65">
        <v>4</v>
      </c>
      <c r="I214" s="57">
        <v>0.90100000000000002</v>
      </c>
      <c r="J214" s="68">
        <v>27.9</v>
      </c>
      <c r="K214" s="68">
        <v>15.6</v>
      </c>
      <c r="L214" s="68">
        <v>27</v>
      </c>
      <c r="M214" s="65">
        <v>0.73399999999999999</v>
      </c>
      <c r="N214" s="65">
        <v>11.8</v>
      </c>
      <c r="O214" s="65">
        <v>28.5</v>
      </c>
      <c r="P214" s="65">
        <v>0.32300000000000001</v>
      </c>
      <c r="Q214" s="65">
        <v>6.53</v>
      </c>
      <c r="R214" s="65">
        <v>18.899999999999999</v>
      </c>
      <c r="S214" s="68">
        <v>14.1</v>
      </c>
      <c r="T214" s="131">
        <v>11.9</v>
      </c>
      <c r="U214" s="136"/>
    </row>
    <row r="215" spans="1:21">
      <c r="A215" s="59"/>
      <c r="B215" s="271" t="s">
        <v>208</v>
      </c>
      <c r="C215" s="65"/>
      <c r="D215" s="65"/>
      <c r="E215" s="271"/>
      <c r="F215" s="65">
        <v>9.2899999999999991</v>
      </c>
      <c r="G215" s="65">
        <v>8</v>
      </c>
      <c r="H215" s="65">
        <v>4</v>
      </c>
      <c r="I215" s="57">
        <v>1.18</v>
      </c>
      <c r="J215" s="68">
        <v>28.8</v>
      </c>
      <c r="K215" s="68">
        <v>16.399999999999999</v>
      </c>
      <c r="L215" s="68">
        <v>26.9</v>
      </c>
      <c r="M215" s="65">
        <v>0.94899999999999995</v>
      </c>
      <c r="N215" s="65">
        <v>15.5</v>
      </c>
      <c r="O215" s="65">
        <v>28.3</v>
      </c>
      <c r="P215" s="65">
        <v>0.41499999999999998</v>
      </c>
      <c r="Q215" s="65">
        <v>8.5399999999999991</v>
      </c>
      <c r="R215" s="65">
        <v>18.7</v>
      </c>
      <c r="S215" s="68">
        <v>13.9</v>
      </c>
      <c r="T215" s="131">
        <v>26.9</v>
      </c>
      <c r="U215" s="136"/>
    </row>
    <row r="216" spans="1:21">
      <c r="A216" s="59"/>
      <c r="B216" s="271" t="s">
        <v>209</v>
      </c>
      <c r="C216" s="65"/>
      <c r="D216" s="65"/>
      <c r="E216" s="271"/>
      <c r="F216" s="65">
        <v>11.4</v>
      </c>
      <c r="G216" s="65">
        <v>8</v>
      </c>
      <c r="H216" s="65">
        <v>4</v>
      </c>
      <c r="I216" s="57">
        <v>1.46</v>
      </c>
      <c r="J216" s="68">
        <v>29.6</v>
      </c>
      <c r="K216" s="68">
        <v>17.2</v>
      </c>
      <c r="L216" s="68">
        <v>26.7</v>
      </c>
      <c r="M216" s="65">
        <v>1.1499999999999999</v>
      </c>
      <c r="N216" s="68">
        <v>19</v>
      </c>
      <c r="O216" s="65">
        <v>28.1</v>
      </c>
      <c r="P216" s="65">
        <v>0.499</v>
      </c>
      <c r="Q216" s="65">
        <v>10.4</v>
      </c>
      <c r="R216" s="65">
        <v>18.5</v>
      </c>
      <c r="S216" s="68">
        <v>13.8</v>
      </c>
      <c r="T216" s="131">
        <v>50.9</v>
      </c>
      <c r="U216" s="136"/>
    </row>
    <row r="217" spans="1:21">
      <c r="A217" s="59"/>
      <c r="B217" s="271" t="s">
        <v>133</v>
      </c>
      <c r="C217" s="65"/>
      <c r="D217" s="65"/>
      <c r="E217" s="271"/>
      <c r="F217" s="65" t="s">
        <v>135</v>
      </c>
      <c r="G217" s="65" t="s">
        <v>135</v>
      </c>
      <c r="H217" s="65" t="s">
        <v>135</v>
      </c>
      <c r="I217" s="57" t="s">
        <v>135</v>
      </c>
      <c r="J217" s="68"/>
      <c r="K217" s="68"/>
      <c r="L217" s="68"/>
      <c r="M217" s="65" t="s">
        <v>135</v>
      </c>
      <c r="N217" s="65" t="s">
        <v>135</v>
      </c>
      <c r="O217" s="65" t="s">
        <v>135</v>
      </c>
      <c r="P217" s="65" t="s">
        <v>135</v>
      </c>
      <c r="Q217" s="65" t="s">
        <v>135</v>
      </c>
      <c r="R217" s="65" t="s">
        <v>135</v>
      </c>
      <c r="S217" s="68"/>
      <c r="T217" s="131"/>
      <c r="U217" s="136"/>
    </row>
    <row r="218" spans="1:21">
      <c r="A218" s="59"/>
      <c r="B218" s="271" t="s">
        <v>210</v>
      </c>
      <c r="C218" s="65"/>
      <c r="D218" s="65"/>
      <c r="E218" s="271"/>
      <c r="F218" s="65">
        <v>9.94</v>
      </c>
      <c r="G218" s="65">
        <v>10</v>
      </c>
      <c r="H218" s="65">
        <v>5</v>
      </c>
      <c r="I218" s="57">
        <v>1.27</v>
      </c>
      <c r="J218" s="68">
        <v>32.700000000000003</v>
      </c>
      <c r="K218" s="68">
        <v>15.5</v>
      </c>
      <c r="L218" s="68">
        <v>22.5</v>
      </c>
      <c r="M218" s="65">
        <v>1.27</v>
      </c>
      <c r="N218" s="65">
        <v>18.899999999999999</v>
      </c>
      <c r="O218" s="65">
        <v>31.6</v>
      </c>
      <c r="P218" s="65">
        <v>0.42199999999999999</v>
      </c>
      <c r="Q218" s="65">
        <v>8.5399999999999991</v>
      </c>
      <c r="R218" s="65">
        <v>18.3</v>
      </c>
      <c r="S218" s="68">
        <v>14</v>
      </c>
      <c r="T218" s="131">
        <v>29.9</v>
      </c>
      <c r="U218" s="136"/>
    </row>
    <row r="219" spans="1:21">
      <c r="A219" s="59"/>
      <c r="B219" s="271" t="s">
        <v>211</v>
      </c>
      <c r="C219" s="65"/>
      <c r="D219" s="65"/>
      <c r="E219" s="271"/>
      <c r="F219" s="65">
        <v>12.3</v>
      </c>
      <c r="G219" s="65">
        <v>10</v>
      </c>
      <c r="H219" s="65">
        <v>5</v>
      </c>
      <c r="I219" s="57">
        <v>1.56</v>
      </c>
      <c r="J219" s="68">
        <v>33.6</v>
      </c>
      <c r="K219" s="68">
        <v>16.3</v>
      </c>
      <c r="L219" s="68">
        <v>22.3</v>
      </c>
      <c r="M219" s="65">
        <v>1.54</v>
      </c>
      <c r="N219" s="65">
        <v>23.2</v>
      </c>
      <c r="O219" s="65">
        <v>31.4</v>
      </c>
      <c r="P219" s="69">
        <v>0.51</v>
      </c>
      <c r="Q219" s="65">
        <v>10.5</v>
      </c>
      <c r="R219" s="65">
        <v>18.100000000000001</v>
      </c>
      <c r="S219" s="68">
        <v>13.9</v>
      </c>
      <c r="T219" s="131">
        <v>56.2</v>
      </c>
      <c r="U219" s="136"/>
    </row>
    <row r="220" spans="1:21">
      <c r="A220" s="59"/>
      <c r="B220" s="271" t="s">
        <v>133</v>
      </c>
      <c r="C220" s="65"/>
      <c r="D220" s="65"/>
      <c r="E220" s="271"/>
      <c r="F220" s="65" t="s">
        <v>135</v>
      </c>
      <c r="G220" s="65" t="s">
        <v>135</v>
      </c>
      <c r="H220" s="65" t="s">
        <v>135</v>
      </c>
      <c r="I220" s="57" t="s">
        <v>135</v>
      </c>
      <c r="J220" s="68"/>
      <c r="K220" s="68"/>
      <c r="L220" s="68"/>
      <c r="M220" s="65" t="s">
        <v>135</v>
      </c>
      <c r="N220" s="65" t="s">
        <v>135</v>
      </c>
      <c r="O220" s="65" t="s">
        <v>135</v>
      </c>
      <c r="P220" s="65" t="s">
        <v>135</v>
      </c>
      <c r="Q220" s="65" t="s">
        <v>135</v>
      </c>
      <c r="R220" s="65" t="s">
        <v>135</v>
      </c>
      <c r="S220" s="68"/>
      <c r="T220" s="131"/>
      <c r="U220" s="136"/>
    </row>
    <row r="221" spans="1:21">
      <c r="A221" s="59"/>
      <c r="B221" s="271" t="s">
        <v>212</v>
      </c>
      <c r="C221" s="65"/>
      <c r="D221" s="65"/>
      <c r="E221" s="271"/>
      <c r="F221" s="65">
        <v>8.0399999999999991</v>
      </c>
      <c r="G221" s="65">
        <v>10</v>
      </c>
      <c r="H221" s="65">
        <v>5</v>
      </c>
      <c r="I221" s="57">
        <v>1.02</v>
      </c>
      <c r="J221" s="68">
        <v>30.1</v>
      </c>
      <c r="K221" s="68">
        <v>17.899999999999999</v>
      </c>
      <c r="L221" s="68">
        <v>28.7</v>
      </c>
      <c r="M221" s="65">
        <v>1.02</v>
      </c>
      <c r="N221" s="65">
        <v>14.7</v>
      </c>
      <c r="O221" s="65">
        <v>31.6</v>
      </c>
      <c r="P221" s="65">
        <v>0.495</v>
      </c>
      <c r="Q221" s="65">
        <v>8.67</v>
      </c>
      <c r="R221" s="68">
        <v>22</v>
      </c>
      <c r="S221" s="68">
        <v>16.2</v>
      </c>
      <c r="T221" s="131">
        <v>14.1</v>
      </c>
      <c r="U221" s="136"/>
    </row>
    <row r="222" spans="1:21">
      <c r="A222" s="59"/>
      <c r="B222" s="271" t="s">
        <v>213</v>
      </c>
      <c r="C222" s="65"/>
      <c r="D222" s="65"/>
      <c r="E222" s="271"/>
      <c r="F222" s="65">
        <v>10.6</v>
      </c>
      <c r="G222" s="65">
        <v>10</v>
      </c>
      <c r="H222" s="65">
        <v>5</v>
      </c>
      <c r="I222" s="57">
        <v>1.35</v>
      </c>
      <c r="J222" s="68">
        <v>31</v>
      </c>
      <c r="K222" s="68">
        <v>18.7</v>
      </c>
      <c r="L222" s="68">
        <v>28.7</v>
      </c>
      <c r="M222" s="65">
        <v>1.33</v>
      </c>
      <c r="N222" s="65">
        <v>19.3</v>
      </c>
      <c r="O222" s="65">
        <v>31.4</v>
      </c>
      <c r="P222" s="65">
        <v>0.64100000000000001</v>
      </c>
      <c r="Q222" s="65">
        <v>11.4</v>
      </c>
      <c r="R222" s="65">
        <v>21.8</v>
      </c>
      <c r="S222" s="68">
        <v>16</v>
      </c>
      <c r="T222" s="131">
        <v>31.6</v>
      </c>
      <c r="U222" s="136"/>
    </row>
    <row r="223" spans="1:21">
      <c r="A223" s="59"/>
      <c r="B223" s="271" t="s">
        <v>214</v>
      </c>
      <c r="C223" s="65"/>
      <c r="D223" s="65"/>
      <c r="E223" s="271"/>
      <c r="F223" s="65">
        <v>13</v>
      </c>
      <c r="G223" s="65">
        <v>10</v>
      </c>
      <c r="H223" s="65">
        <v>5</v>
      </c>
      <c r="I223" s="57">
        <v>1.66</v>
      </c>
      <c r="J223" s="68">
        <v>31.9</v>
      </c>
      <c r="K223" s="68">
        <v>19.5</v>
      </c>
      <c r="L223" s="68">
        <v>28.6</v>
      </c>
      <c r="M223" s="65">
        <v>1.62</v>
      </c>
      <c r="N223" s="65">
        <v>23.8</v>
      </c>
      <c r="O223" s="65">
        <v>31.2</v>
      </c>
      <c r="P223" s="65">
        <v>0.77600000000000002</v>
      </c>
      <c r="Q223" s="68">
        <v>14</v>
      </c>
      <c r="R223" s="65">
        <v>21.6</v>
      </c>
      <c r="S223" s="68">
        <v>15.9</v>
      </c>
      <c r="T223" s="131">
        <v>59.5</v>
      </c>
      <c r="U223" s="136"/>
    </row>
    <row r="224" spans="1:21">
      <c r="A224" s="59"/>
      <c r="B224" s="271" t="s">
        <v>215</v>
      </c>
      <c r="C224" s="65"/>
      <c r="D224" s="65"/>
      <c r="E224" s="271"/>
      <c r="F224" s="65">
        <v>15.4</v>
      </c>
      <c r="G224" s="65">
        <v>10</v>
      </c>
      <c r="H224" s="65">
        <v>5</v>
      </c>
      <c r="I224" s="57">
        <v>1.97</v>
      </c>
      <c r="J224" s="68">
        <v>32.700000000000003</v>
      </c>
      <c r="K224" s="68">
        <v>20.3</v>
      </c>
      <c r="L224" s="68">
        <v>28.4</v>
      </c>
      <c r="M224" s="65">
        <v>1.89</v>
      </c>
      <c r="N224" s="68">
        <v>28</v>
      </c>
      <c r="O224" s="68">
        <v>31</v>
      </c>
      <c r="P224" s="65">
        <v>0.90200000000000002</v>
      </c>
      <c r="Q224" s="65">
        <v>16.5</v>
      </c>
      <c r="R224" s="65">
        <v>21.4</v>
      </c>
      <c r="S224" s="68">
        <v>15.9</v>
      </c>
      <c r="T224" s="131">
        <v>99.8</v>
      </c>
      <c r="U224" s="136"/>
    </row>
    <row r="225" spans="1:21">
      <c r="A225" s="59"/>
      <c r="B225" s="271" t="s">
        <v>133</v>
      </c>
      <c r="C225" s="65"/>
      <c r="D225" s="65"/>
      <c r="E225" s="271"/>
      <c r="F225" s="65" t="s">
        <v>135</v>
      </c>
      <c r="G225" s="65" t="s">
        <v>135</v>
      </c>
      <c r="H225" s="65" t="s">
        <v>135</v>
      </c>
      <c r="I225" s="57" t="s">
        <v>135</v>
      </c>
      <c r="J225" s="68"/>
      <c r="K225" s="68"/>
      <c r="L225" s="68"/>
      <c r="M225" s="65" t="s">
        <v>135</v>
      </c>
      <c r="N225" s="65" t="s">
        <v>135</v>
      </c>
      <c r="O225" s="68" t="s">
        <v>135</v>
      </c>
      <c r="P225" s="65" t="s">
        <v>135</v>
      </c>
      <c r="Q225" s="65" t="s">
        <v>135</v>
      </c>
      <c r="R225" s="65" t="s">
        <v>135</v>
      </c>
      <c r="S225" s="68"/>
      <c r="T225" s="131"/>
      <c r="U225" s="136"/>
    </row>
    <row r="226" spans="1:21">
      <c r="A226" s="59"/>
      <c r="B226" s="271" t="s">
        <v>216</v>
      </c>
      <c r="C226" s="65"/>
      <c r="D226" s="65"/>
      <c r="E226" s="271"/>
      <c r="F226" s="65">
        <v>12.2</v>
      </c>
      <c r="G226" s="65">
        <v>11</v>
      </c>
      <c r="H226" s="65">
        <v>5.5</v>
      </c>
      <c r="I226" s="57">
        <v>1.55</v>
      </c>
      <c r="J226" s="68">
        <v>41.4</v>
      </c>
      <c r="K226" s="68">
        <v>16.8</v>
      </c>
      <c r="L226" s="68">
        <v>19.8</v>
      </c>
      <c r="M226" s="65">
        <v>2.4700000000000002</v>
      </c>
      <c r="N226" s="65">
        <v>29.6</v>
      </c>
      <c r="O226" s="68">
        <v>40</v>
      </c>
      <c r="P226" s="65">
        <v>0.67600000000000005</v>
      </c>
      <c r="Q226" s="65">
        <v>11.6</v>
      </c>
      <c r="R226" s="65">
        <v>20.9</v>
      </c>
      <c r="S226" s="68">
        <v>16.3</v>
      </c>
      <c r="T226" s="131">
        <v>36.700000000000003</v>
      </c>
      <c r="U226" s="136"/>
    </row>
    <row r="227" spans="1:21">
      <c r="A227" s="59"/>
      <c r="B227" s="271" t="s">
        <v>217</v>
      </c>
      <c r="C227" s="65"/>
      <c r="D227" s="65"/>
      <c r="E227" s="271"/>
      <c r="F227" s="68">
        <v>15</v>
      </c>
      <c r="G227" s="65">
        <v>11</v>
      </c>
      <c r="H227" s="65">
        <v>5.5</v>
      </c>
      <c r="I227" s="57">
        <v>1.91</v>
      </c>
      <c r="J227" s="68">
        <v>42.3</v>
      </c>
      <c r="K227" s="68">
        <v>17.600000000000001</v>
      </c>
      <c r="L227" s="68">
        <v>19.7</v>
      </c>
      <c r="M227" s="65">
        <v>3.02</v>
      </c>
      <c r="N227" s="65">
        <v>36.5</v>
      </c>
      <c r="O227" s="65">
        <v>39.700000000000003</v>
      </c>
      <c r="P227" s="65">
        <v>0.82099999999999995</v>
      </c>
      <c r="Q227" s="65">
        <v>14.3</v>
      </c>
      <c r="R227" s="65">
        <v>20.7</v>
      </c>
      <c r="S227" s="68">
        <v>16.100000000000001</v>
      </c>
      <c r="T227" s="141">
        <v>69</v>
      </c>
      <c r="U227" s="136"/>
    </row>
    <row r="228" spans="1:21">
      <c r="A228" s="59"/>
      <c r="B228" s="271" t="s">
        <v>218</v>
      </c>
      <c r="C228" s="65"/>
      <c r="D228" s="65"/>
      <c r="E228" s="271"/>
      <c r="F228" s="65">
        <v>17.8</v>
      </c>
      <c r="G228" s="65">
        <v>11</v>
      </c>
      <c r="H228" s="65">
        <v>5.5</v>
      </c>
      <c r="I228" s="57">
        <v>2.27</v>
      </c>
      <c r="J228" s="68">
        <v>43.1</v>
      </c>
      <c r="K228" s="68">
        <v>18.399999999999999</v>
      </c>
      <c r="L228" s="68">
        <v>19.5</v>
      </c>
      <c r="M228" s="65">
        <v>3.54</v>
      </c>
      <c r="N228" s="65">
        <v>43.2</v>
      </c>
      <c r="O228" s="65">
        <v>39.5</v>
      </c>
      <c r="P228" s="65">
        <v>0.95499999999999996</v>
      </c>
      <c r="Q228" s="65">
        <v>16.899999999999999</v>
      </c>
      <c r="R228" s="65">
        <v>20.5</v>
      </c>
      <c r="S228" s="68">
        <v>16.100000000000001</v>
      </c>
      <c r="T228" s="131">
        <v>116</v>
      </c>
      <c r="U228" s="136"/>
    </row>
    <row r="229" spans="1:21">
      <c r="A229" s="59"/>
      <c r="B229" s="271" t="s">
        <v>133</v>
      </c>
      <c r="C229" s="65"/>
      <c r="D229" s="65"/>
      <c r="E229" s="271"/>
      <c r="F229" s="65" t="s">
        <v>135</v>
      </c>
      <c r="G229" s="65" t="s">
        <v>135</v>
      </c>
      <c r="H229" s="65" t="s">
        <v>135</v>
      </c>
      <c r="I229" s="57" t="s">
        <v>135</v>
      </c>
      <c r="J229" s="68"/>
      <c r="K229" s="68"/>
      <c r="L229" s="68"/>
      <c r="M229" s="65" t="s">
        <v>135</v>
      </c>
      <c r="N229" s="65" t="s">
        <v>135</v>
      </c>
      <c r="O229" s="65" t="s">
        <v>135</v>
      </c>
      <c r="P229" s="65" t="s">
        <v>135</v>
      </c>
      <c r="Q229" s="65" t="s">
        <v>135</v>
      </c>
      <c r="R229" s="65" t="s">
        <v>135</v>
      </c>
      <c r="S229" s="68"/>
      <c r="T229" s="131"/>
      <c r="U229" s="136"/>
    </row>
    <row r="230" spans="1:21">
      <c r="A230" s="59"/>
      <c r="B230" s="271" t="s">
        <v>219</v>
      </c>
      <c r="C230" s="65"/>
      <c r="D230" s="65"/>
      <c r="E230" s="271"/>
      <c r="F230" s="68">
        <v>17</v>
      </c>
      <c r="G230" s="65">
        <v>11</v>
      </c>
      <c r="H230" s="65">
        <v>5.5</v>
      </c>
      <c r="I230" s="57">
        <v>2.16</v>
      </c>
      <c r="J230" s="68">
        <v>53.2</v>
      </c>
      <c r="K230" s="68">
        <v>16.100000000000001</v>
      </c>
      <c r="L230" s="68">
        <v>14.6</v>
      </c>
      <c r="M230" s="65">
        <v>5.01</v>
      </c>
      <c r="N230" s="65">
        <v>51.8</v>
      </c>
      <c r="O230" s="65">
        <v>48.1</v>
      </c>
      <c r="P230" s="65">
        <v>0.85799999999999998</v>
      </c>
      <c r="Q230" s="65">
        <v>14.6</v>
      </c>
      <c r="R230" s="65">
        <v>19.899999999999999</v>
      </c>
      <c r="S230" s="68">
        <v>16</v>
      </c>
      <c r="T230" s="131">
        <v>77.400000000000006</v>
      </c>
      <c r="U230" s="136"/>
    </row>
    <row r="231" spans="1:21">
      <c r="A231" s="59"/>
      <c r="B231" s="271" t="s">
        <v>220</v>
      </c>
      <c r="C231" s="65"/>
      <c r="D231" s="65"/>
      <c r="E231" s="271"/>
      <c r="F231" s="65">
        <v>20.2</v>
      </c>
      <c r="G231" s="65">
        <v>11</v>
      </c>
      <c r="H231" s="65">
        <v>5.5</v>
      </c>
      <c r="I231" s="57">
        <v>2.57</v>
      </c>
      <c r="J231" s="68">
        <v>54.1</v>
      </c>
      <c r="K231" s="68">
        <v>16.899999999999999</v>
      </c>
      <c r="L231" s="68">
        <v>14.5</v>
      </c>
      <c r="M231" s="65">
        <v>5.89</v>
      </c>
      <c r="N231" s="65">
        <v>61.4</v>
      </c>
      <c r="O231" s="65">
        <v>47.9</v>
      </c>
      <c r="P231" s="65">
        <v>0.999</v>
      </c>
      <c r="Q231" s="65">
        <v>17.2</v>
      </c>
      <c r="R231" s="65">
        <v>19.7</v>
      </c>
      <c r="S231" s="68">
        <v>15.9</v>
      </c>
      <c r="T231" s="131">
        <v>130</v>
      </c>
      <c r="U231" s="136"/>
    </row>
    <row r="232" spans="1:21">
      <c r="A232" s="59"/>
      <c r="B232" s="271" t="s">
        <v>221</v>
      </c>
      <c r="C232" s="65"/>
      <c r="D232" s="65"/>
      <c r="E232" s="271"/>
      <c r="F232" s="65">
        <v>24.8</v>
      </c>
      <c r="G232" s="65">
        <v>11</v>
      </c>
      <c r="H232" s="65">
        <v>5.5</v>
      </c>
      <c r="I232" s="57">
        <v>3.16</v>
      </c>
      <c r="J232" s="68">
        <v>55.3</v>
      </c>
      <c r="K232" s="68">
        <v>18.100000000000001</v>
      </c>
      <c r="L232" s="68">
        <v>14.2</v>
      </c>
      <c r="M232" s="65">
        <v>7.13</v>
      </c>
      <c r="N232" s="65">
        <v>75.3</v>
      </c>
      <c r="O232" s="65">
        <v>47.5</v>
      </c>
      <c r="P232" s="67">
        <v>1.2</v>
      </c>
      <c r="Q232" s="68">
        <v>21</v>
      </c>
      <c r="R232" s="65">
        <v>19.399999999999999</v>
      </c>
      <c r="S232" s="68">
        <v>15.8</v>
      </c>
      <c r="T232" s="131">
        <v>246</v>
      </c>
      <c r="U232" s="136"/>
    </row>
    <row r="233" spans="1:21">
      <c r="A233" s="59"/>
      <c r="B233" s="271" t="s">
        <v>133</v>
      </c>
      <c r="C233" s="65"/>
      <c r="D233" s="65"/>
      <c r="E233" s="271"/>
      <c r="F233" s="65" t="s">
        <v>135</v>
      </c>
      <c r="G233" s="65" t="s">
        <v>135</v>
      </c>
      <c r="H233" s="65" t="s">
        <v>135</v>
      </c>
      <c r="I233" s="57" t="s">
        <v>135</v>
      </c>
      <c r="J233" s="68"/>
      <c r="K233" s="68"/>
      <c r="L233" s="68"/>
      <c r="M233" s="65" t="s">
        <v>135</v>
      </c>
      <c r="N233" s="65" t="s">
        <v>135</v>
      </c>
      <c r="O233" s="65" t="s">
        <v>135</v>
      </c>
      <c r="P233" s="65" t="s">
        <v>135</v>
      </c>
      <c r="Q233" s="68" t="s">
        <v>135</v>
      </c>
      <c r="R233" s="65" t="s">
        <v>135</v>
      </c>
      <c r="S233" s="68"/>
      <c r="T233" s="131"/>
      <c r="U233" s="136"/>
    </row>
    <row r="234" spans="1:21">
      <c r="A234" s="59"/>
      <c r="B234" s="271" t="s">
        <v>222</v>
      </c>
      <c r="C234" s="65"/>
      <c r="D234" s="65"/>
      <c r="E234" s="271"/>
      <c r="F234" s="65">
        <v>18.2</v>
      </c>
      <c r="G234" s="65">
        <v>12</v>
      </c>
      <c r="H234" s="65">
        <v>6</v>
      </c>
      <c r="I234" s="57">
        <v>2.3199999999999998</v>
      </c>
      <c r="J234" s="68">
        <v>50</v>
      </c>
      <c r="K234" s="68">
        <v>20.399999999999999</v>
      </c>
      <c r="L234" s="68">
        <v>19.8</v>
      </c>
      <c r="M234" s="65">
        <v>5.33</v>
      </c>
      <c r="N234" s="65">
        <v>53.3</v>
      </c>
      <c r="O234" s="68">
        <v>48</v>
      </c>
      <c r="P234" s="65">
        <v>1.46</v>
      </c>
      <c r="Q234" s="68">
        <v>21</v>
      </c>
      <c r="R234" s="65">
        <v>25.1</v>
      </c>
      <c r="S234" s="68">
        <v>19.5</v>
      </c>
      <c r="T234" s="131">
        <v>83.6</v>
      </c>
      <c r="U234" s="136"/>
    </row>
    <row r="235" spans="1:21">
      <c r="A235" s="59"/>
      <c r="B235" s="271" t="s">
        <v>223</v>
      </c>
      <c r="C235" s="65"/>
      <c r="D235" s="65"/>
      <c r="E235" s="271"/>
      <c r="F235" s="65">
        <v>21.6</v>
      </c>
      <c r="G235" s="65">
        <v>12</v>
      </c>
      <c r="H235" s="65">
        <v>6</v>
      </c>
      <c r="I235" s="57">
        <v>2.75</v>
      </c>
      <c r="J235" s="68">
        <v>50.8</v>
      </c>
      <c r="K235" s="68">
        <v>21.2</v>
      </c>
      <c r="L235" s="68">
        <v>19.7</v>
      </c>
      <c r="M235" s="65">
        <v>6.27</v>
      </c>
      <c r="N235" s="65">
        <v>63.3</v>
      </c>
      <c r="O235" s="65">
        <v>47.7</v>
      </c>
      <c r="P235" s="65">
        <v>1.71</v>
      </c>
      <c r="Q235" s="65">
        <v>24.8</v>
      </c>
      <c r="R235" s="65">
        <v>24.9</v>
      </c>
      <c r="S235" s="68">
        <v>19.399999999999999</v>
      </c>
      <c r="T235" s="131">
        <v>141</v>
      </c>
      <c r="U235" s="136"/>
    </row>
    <row r="236" spans="1:21">
      <c r="A236" s="59"/>
      <c r="B236" s="271" t="s">
        <v>224</v>
      </c>
      <c r="C236" s="65"/>
      <c r="D236" s="65"/>
      <c r="E236" s="271"/>
      <c r="F236" s="65">
        <v>26.6</v>
      </c>
      <c r="G236" s="65">
        <v>12</v>
      </c>
      <c r="H236" s="65">
        <v>6</v>
      </c>
      <c r="I236" s="57">
        <v>3.39</v>
      </c>
      <c r="J236" s="68">
        <v>52.1</v>
      </c>
      <c r="K236" s="68">
        <v>22.3</v>
      </c>
      <c r="L236" s="68">
        <v>19.5</v>
      </c>
      <c r="M236" s="65">
        <v>7.61</v>
      </c>
      <c r="N236" s="65">
        <v>77.7</v>
      </c>
      <c r="O236" s="65">
        <v>47.4</v>
      </c>
      <c r="P236" s="65">
        <v>2.0499999999999998</v>
      </c>
      <c r="Q236" s="65">
        <v>30.4</v>
      </c>
      <c r="R236" s="65">
        <v>24.6</v>
      </c>
      <c r="S236" s="68">
        <v>19.3</v>
      </c>
      <c r="T236" s="131">
        <v>266</v>
      </c>
      <c r="U236" s="136"/>
    </row>
    <row r="237" spans="1:21">
      <c r="A237" s="6"/>
    </row>
    <row r="238" spans="1:21" s="3" customFormat="1" ht="15.75" customHeight="1">
      <c r="A238" s="58"/>
      <c r="B238" s="272"/>
      <c r="C238"/>
      <c r="D238"/>
      <c r="E238" s="272"/>
      <c r="N238" s="92"/>
      <c r="O238" s="92"/>
      <c r="S238" s="92"/>
    </row>
    <row r="239" spans="1:21" ht="23.25">
      <c r="A239" s="58"/>
      <c r="B239" s="267" t="s">
        <v>230</v>
      </c>
      <c r="C239" s="1"/>
      <c r="D239" s="1"/>
      <c r="E239" s="267"/>
    </row>
    <row r="240" spans="1:21" ht="20.25">
      <c r="A240" s="58"/>
      <c r="B240" s="93"/>
      <c r="C240" s="99"/>
      <c r="D240" s="99"/>
      <c r="E240" s="93"/>
    </row>
    <row r="241" spans="1:15" s="92" customFormat="1" ht="18.75">
      <c r="A241" s="94"/>
      <c r="B241" s="278" t="s">
        <v>139</v>
      </c>
      <c r="C241" s="95"/>
      <c r="D241" s="95"/>
      <c r="E241" s="278"/>
      <c r="F241" s="95" t="s">
        <v>46</v>
      </c>
      <c r="G241" s="95" t="s">
        <v>142</v>
      </c>
      <c r="H241" s="132" t="s">
        <v>514</v>
      </c>
      <c r="I241" s="132" t="s">
        <v>516</v>
      </c>
      <c r="J241" s="95" t="s">
        <v>513</v>
      </c>
      <c r="K241" s="95" t="s">
        <v>530</v>
      </c>
      <c r="L241" s="95" t="s">
        <v>143</v>
      </c>
    </row>
    <row r="242" spans="1:15" s="4" customFormat="1" ht="14.25">
      <c r="A242" s="58"/>
      <c r="B242" s="279" t="s">
        <v>51</v>
      </c>
      <c r="C242" s="5"/>
      <c r="D242" s="5"/>
      <c r="E242" s="279"/>
      <c r="F242" s="5" t="s">
        <v>47</v>
      </c>
      <c r="G242" s="4" t="s">
        <v>231</v>
      </c>
      <c r="H242" s="5" t="s">
        <v>232</v>
      </c>
      <c r="I242" s="5" t="s">
        <v>233</v>
      </c>
      <c r="J242" s="5" t="s">
        <v>233</v>
      </c>
      <c r="K242" s="5" t="s">
        <v>146</v>
      </c>
      <c r="L242" s="5" t="s">
        <v>234</v>
      </c>
      <c r="N242" s="4">
        <f>124^10</f>
        <v>8.5944255064918039E+20</v>
      </c>
    </row>
    <row r="243" spans="1:15">
      <c r="A243" s="58"/>
      <c r="B243" s="271"/>
      <c r="C243" s="65"/>
      <c r="D243" s="65"/>
      <c r="E243" s="271"/>
      <c r="F243" s="65"/>
      <c r="G243" s="65"/>
      <c r="H243" s="65"/>
      <c r="I243" s="65"/>
      <c r="J243" s="65"/>
      <c r="K243" s="65"/>
      <c r="L243" s="65"/>
      <c r="N243" s="287">
        <v>0.01</v>
      </c>
      <c r="O243" s="288">
        <f>N243*$N$242</f>
        <v>8.5944255064918036E+18</v>
      </c>
    </row>
    <row r="244" spans="1:15">
      <c r="A244" s="59"/>
      <c r="B244" s="280" t="s">
        <v>236</v>
      </c>
      <c r="C244" s="56" t="str">
        <f>TRIM(B244)</f>
        <v>48.4x2.5</v>
      </c>
      <c r="D244" s="56" t="str">
        <f>SUBSTITUTE(C244,".0","")</f>
        <v>48.4x2.5</v>
      </c>
      <c r="E244" s="271" t="str">
        <f t="shared" ref="E244:E307" si="11">IF(ISBLANK(B244),"",_xlfn.CONCAT("CHS ",D244))</f>
        <v>CHS 48.4x2.5</v>
      </c>
      <c r="F244" s="67">
        <v>2.8299073924455151</v>
      </c>
      <c r="G244" s="69">
        <v>0.36049775699942871</v>
      </c>
      <c r="H244" s="69">
        <v>9.5219173800651619E-2</v>
      </c>
      <c r="I244" s="67">
        <v>3.9346766033327114</v>
      </c>
      <c r="J244" s="67">
        <v>5.2722333333333324</v>
      </c>
      <c r="K244" s="68">
        <v>16.252153703432665</v>
      </c>
      <c r="L244" s="69">
        <v>0.19043834760130324</v>
      </c>
      <c r="N244" s="287">
        <f>N243/10</f>
        <v>1E-3</v>
      </c>
      <c r="O244" s="288">
        <f t="shared" ref="O244:O252" si="12">N244*$N$242</f>
        <v>8.5944255064918042E+17</v>
      </c>
    </row>
    <row r="245" spans="1:15">
      <c r="A245" s="59"/>
      <c r="B245" s="280" t="s">
        <v>237</v>
      </c>
      <c r="C245" s="56" t="str">
        <f>TRIM(B245)</f>
        <v>48.4x3.0</v>
      </c>
      <c r="D245" s="56" t="str">
        <f t="shared" ref="D245:D308" si="13">SUBSTITUTE(C245,".0","")</f>
        <v>48.4x3</v>
      </c>
      <c r="E245" s="271" t="str">
        <f t="shared" si="11"/>
        <v>CHS 48.4x3</v>
      </c>
      <c r="F245" s="67">
        <v>3.358896617438599</v>
      </c>
      <c r="G245" s="69">
        <v>0.42788491941892981</v>
      </c>
      <c r="H245" s="69">
        <v>0.11072378059803648</v>
      </c>
      <c r="I245" s="67">
        <v>4.5753628346296065</v>
      </c>
      <c r="J245" s="67">
        <v>6.1924800000000007</v>
      </c>
      <c r="K245" s="68">
        <v>16.086329600005094</v>
      </c>
      <c r="L245" s="69">
        <v>0.22144756119607295</v>
      </c>
      <c r="N245" s="287">
        <f t="shared" ref="N245:N252" si="14">N244/10</f>
        <v>1E-4</v>
      </c>
      <c r="O245" s="288">
        <f t="shared" si="12"/>
        <v>8.5944255064918048E+16</v>
      </c>
    </row>
    <row r="246" spans="1:15">
      <c r="A246" s="59"/>
      <c r="B246" s="280" t="s">
        <v>238</v>
      </c>
      <c r="C246" s="56" t="str">
        <f t="shared" ref="C246:C309" si="15">TRIM(B246)</f>
        <v>48.4x3.5</v>
      </c>
      <c r="D246" s="56" t="str">
        <f t="shared" si="13"/>
        <v>48.4x3.5</v>
      </c>
      <c r="E246" s="271" t="str">
        <f t="shared" si="11"/>
        <v>CHS 48.4x3.5</v>
      </c>
      <c r="F246" s="67">
        <v>3.8755550912663419</v>
      </c>
      <c r="G246" s="69">
        <v>0.49370128551163595</v>
      </c>
      <c r="H246" s="69">
        <v>0.12516932116897883</v>
      </c>
      <c r="I246" s="67">
        <v>5.1722859987181335</v>
      </c>
      <c r="J246" s="67">
        <v>7.0703266666666673</v>
      </c>
      <c r="K246" s="68">
        <v>15.922703916106711</v>
      </c>
      <c r="L246" s="69">
        <v>0.25033864233795766</v>
      </c>
      <c r="N246" s="287">
        <f t="shared" si="14"/>
        <v>1.0000000000000001E-5</v>
      </c>
      <c r="O246" s="288">
        <f t="shared" si="12"/>
        <v>8594425506491805</v>
      </c>
    </row>
    <row r="247" spans="1:15">
      <c r="A247" s="59"/>
      <c r="B247" s="280" t="s">
        <v>239</v>
      </c>
      <c r="C247" s="56" t="str">
        <f t="shared" si="15"/>
        <v>48.4x4.0</v>
      </c>
      <c r="D247" s="56" t="str">
        <f t="shared" si="13"/>
        <v>48.4x4</v>
      </c>
      <c r="E247" s="271" t="str">
        <f t="shared" si="11"/>
        <v>CHS 48.4x4</v>
      </c>
      <c r="F247" s="67">
        <v>4.3798828139287469</v>
      </c>
      <c r="G247" s="69">
        <v>0.55794685527754739</v>
      </c>
      <c r="H247" s="69">
        <v>0.1386051577880483</v>
      </c>
      <c r="I247" s="67">
        <v>5.7274858590102609</v>
      </c>
      <c r="J247" s="67">
        <v>7.9067733333333337</v>
      </c>
      <c r="K247" s="68">
        <v>15.761345120261785</v>
      </c>
      <c r="L247" s="69">
        <v>0.2772103155760966</v>
      </c>
      <c r="N247" s="287">
        <f t="shared" si="14"/>
        <v>1.0000000000000002E-6</v>
      </c>
      <c r="O247" s="288">
        <f t="shared" si="12"/>
        <v>859442550649180.5</v>
      </c>
    </row>
    <row r="248" spans="1:15">
      <c r="A248" s="59"/>
      <c r="B248" s="271"/>
      <c r="C248" s="56" t="str">
        <f>TRIM(B248)</f>
        <v/>
      </c>
      <c r="D248" s="56" t="str">
        <f t="shared" si="13"/>
        <v/>
      </c>
      <c r="E248" s="271" t="str">
        <f>IF(ISBLANK(B248),"",_xlfn.CONCAT("CHS ",D248))</f>
        <v/>
      </c>
      <c r="F248" s="65" t="s">
        <v>135</v>
      </c>
      <c r="G248" s="65" t="s">
        <v>135</v>
      </c>
      <c r="H248" s="65" t="s">
        <v>135</v>
      </c>
      <c r="I248" s="65" t="s">
        <v>135</v>
      </c>
      <c r="J248" s="65" t="s">
        <v>135</v>
      </c>
      <c r="K248" s="65" t="s">
        <v>135</v>
      </c>
      <c r="L248" s="65" t="s">
        <v>135</v>
      </c>
      <c r="N248" s="287">
        <f t="shared" si="14"/>
        <v>1.0000000000000002E-7</v>
      </c>
      <c r="O248" s="288">
        <f t="shared" si="12"/>
        <v>85944255064918.063</v>
      </c>
    </row>
    <row r="249" spans="1:15">
      <c r="A249" s="59"/>
      <c r="B249" s="280" t="s">
        <v>240</v>
      </c>
      <c r="C249" s="56" t="str">
        <f t="shared" si="15"/>
        <v>60.3x2.5</v>
      </c>
      <c r="D249" s="56" t="str">
        <f t="shared" si="13"/>
        <v>60.3x2.5</v>
      </c>
      <c r="E249" s="271" t="str">
        <f t="shared" si="11"/>
        <v>CHS 60.3x2.5</v>
      </c>
      <c r="F249" s="67">
        <v>3.5635870867832442</v>
      </c>
      <c r="G249" s="69">
        <v>0.4539601384437254</v>
      </c>
      <c r="H249" s="69">
        <v>0.18993067997295104</v>
      </c>
      <c r="I249" s="67">
        <v>6.2995250405622247</v>
      </c>
      <c r="J249" s="67">
        <v>8.357308333333334</v>
      </c>
      <c r="K249" s="68">
        <v>20.454492171647772</v>
      </c>
      <c r="L249" s="69">
        <v>0.37986135994590209</v>
      </c>
      <c r="N249" s="287">
        <f t="shared" si="14"/>
        <v>1.0000000000000002E-8</v>
      </c>
      <c r="O249" s="288">
        <f t="shared" si="12"/>
        <v>8594425506491.8057</v>
      </c>
    </row>
    <row r="250" spans="1:15">
      <c r="A250" s="59"/>
      <c r="B250" s="280" t="s">
        <v>241</v>
      </c>
      <c r="C250" s="56" t="str">
        <f t="shared" si="15"/>
        <v>60.3x3.0</v>
      </c>
      <c r="D250" s="56" t="str">
        <f t="shared" si="13"/>
        <v>60.3x3</v>
      </c>
      <c r="E250" s="271" t="str">
        <f t="shared" si="11"/>
        <v>CHS 60.3x3</v>
      </c>
      <c r="F250" s="67">
        <v>4.2415317858536348</v>
      </c>
      <c r="G250" s="69">
        <v>0.5403225204909089</v>
      </c>
      <c r="H250" s="69">
        <v>0.22259456826284138</v>
      </c>
      <c r="I250" s="67">
        <v>7.3792331597162741</v>
      </c>
      <c r="J250" s="67">
        <v>9.8691866999999966</v>
      </c>
      <c r="K250" s="68">
        <v>20.296948354370912</v>
      </c>
      <c r="L250" s="69">
        <v>0.44518913652568276</v>
      </c>
      <c r="N250" s="287">
        <f t="shared" si="14"/>
        <v>1.0000000000000003E-9</v>
      </c>
      <c r="O250" s="288">
        <f t="shared" si="12"/>
        <v>859442550649.18066</v>
      </c>
    </row>
    <row r="251" spans="1:15">
      <c r="A251" s="59"/>
      <c r="B251" s="280" t="s">
        <v>242</v>
      </c>
      <c r="C251" s="56" t="str">
        <f t="shared" si="15"/>
        <v>60.3x3.5</v>
      </c>
      <c r="D251" s="56" t="str">
        <f t="shared" si="13"/>
        <v>60.3x3.5</v>
      </c>
      <c r="E251" s="271" t="str">
        <f t="shared" si="11"/>
        <v>CHS 60.3x3.5</v>
      </c>
      <c r="F251" s="67">
        <v>4.9052961210838824</v>
      </c>
      <c r="G251" s="69">
        <v>0.62487848676227808</v>
      </c>
      <c r="H251" s="69">
        <v>0.25322410985853677</v>
      </c>
      <c r="I251" s="67">
        <v>8.3946331794641722</v>
      </c>
      <c r="J251" s="68">
        <v>11.318062816666663</v>
      </c>
      <c r="K251" s="68">
        <v>20.130508252401381</v>
      </c>
      <c r="L251" s="69">
        <v>0.50644821971707354</v>
      </c>
      <c r="N251" s="287">
        <f t="shared" si="14"/>
        <v>1.0000000000000003E-10</v>
      </c>
      <c r="O251" s="288">
        <f t="shared" si="12"/>
        <v>85944255064.91806</v>
      </c>
    </row>
    <row r="252" spans="1:15">
      <c r="A252" s="59"/>
      <c r="B252" s="280" t="s">
        <v>243</v>
      </c>
      <c r="C252" s="56" t="str">
        <f t="shared" si="15"/>
        <v>60.3x4.0</v>
      </c>
      <c r="D252" s="56" t="str">
        <f t="shared" si="13"/>
        <v>60.3x4</v>
      </c>
      <c r="E252" s="271" t="str">
        <f t="shared" si="11"/>
        <v>CHS 60.3x4</v>
      </c>
      <c r="F252" s="67">
        <v>5.5567297051487889</v>
      </c>
      <c r="G252" s="69">
        <v>0.70786365670685214</v>
      </c>
      <c r="H252" s="69">
        <v>0.28217824663051239</v>
      </c>
      <c r="I252" s="67">
        <v>9.354491849179924</v>
      </c>
      <c r="J252" s="68">
        <v>12.713608933333328</v>
      </c>
      <c r="K252" s="68">
        <v>19.965811090461617</v>
      </c>
      <c r="L252" s="69">
        <v>0.56435649326102477</v>
      </c>
      <c r="N252" s="287">
        <f t="shared" si="14"/>
        <v>1.0000000000000003E-11</v>
      </c>
      <c r="O252" s="288">
        <f t="shared" si="12"/>
        <v>8594425506.491806</v>
      </c>
    </row>
    <row r="253" spans="1:15">
      <c r="A253" s="59"/>
      <c r="B253" s="276" t="s">
        <v>244</v>
      </c>
      <c r="C253" s="56" t="str">
        <f t="shared" si="15"/>
        <v>60.3x4.5</v>
      </c>
      <c r="D253" s="56" t="str">
        <f t="shared" si="13"/>
        <v>60.3x4.5</v>
      </c>
      <c r="E253" s="271" t="str">
        <f t="shared" si="11"/>
        <v>CHS 60.3x4.5</v>
      </c>
      <c r="F253" s="67">
        <v>6.1958325380483599</v>
      </c>
      <c r="G253" s="69">
        <v>0.78927803032463184</v>
      </c>
      <c r="H253" s="69">
        <v>0.30951921745622685</v>
      </c>
      <c r="I253" s="68">
        <v>10.260872450065534</v>
      </c>
      <c r="J253" s="68">
        <v>14.056825049999995</v>
      </c>
      <c r="K253" s="68">
        <v>19.802900355755973</v>
      </c>
      <c r="L253" s="69">
        <v>0.61903843491245369</v>
      </c>
    </row>
    <row r="254" spans="1:15">
      <c r="A254" s="59"/>
      <c r="B254" s="271"/>
      <c r="C254" s="56" t="str">
        <f t="shared" si="15"/>
        <v/>
      </c>
      <c r="D254" s="56" t="str">
        <f t="shared" si="13"/>
        <v/>
      </c>
      <c r="E254" s="271" t="str">
        <f t="shared" si="11"/>
        <v/>
      </c>
      <c r="F254" s="65" t="s">
        <v>135</v>
      </c>
      <c r="G254" s="65" t="s">
        <v>135</v>
      </c>
      <c r="H254" s="65" t="s">
        <v>135</v>
      </c>
      <c r="I254" s="65" t="s">
        <v>135</v>
      </c>
      <c r="J254" s="65" t="s">
        <v>135</v>
      </c>
      <c r="K254" s="65" t="s">
        <v>135</v>
      </c>
      <c r="L254" s="65" t="s">
        <v>135</v>
      </c>
    </row>
    <row r="255" spans="1:15">
      <c r="A255" s="59"/>
      <c r="B255" s="280" t="s">
        <v>245</v>
      </c>
      <c r="C255" s="56" t="str">
        <f t="shared" si="15"/>
        <v>63.5x2.5</v>
      </c>
      <c r="D255" s="56" t="str">
        <f t="shared" si="13"/>
        <v>63.5x2.5</v>
      </c>
      <c r="E255" s="271" t="str">
        <f t="shared" si="11"/>
        <v>CHS 63.5x2.5</v>
      </c>
      <c r="F255" s="67">
        <v>3.7608791054286801</v>
      </c>
      <c r="G255" s="69">
        <v>0.47909287967244335</v>
      </c>
      <c r="H255" s="69">
        <v>0.22321236696988922</v>
      </c>
      <c r="I255" s="67">
        <v>7.0303107707051726</v>
      </c>
      <c r="J255" s="67">
        <v>9.3077083333333341</v>
      </c>
      <c r="K255" s="68">
        <v>21.584861593255582</v>
      </c>
      <c r="L255" s="69">
        <v>0.44642473393977844</v>
      </c>
      <c r="N255" s="288">
        <f>124^5</f>
        <v>29316250624</v>
      </c>
    </row>
    <row r="256" spans="1:15">
      <c r="A256" s="59"/>
      <c r="B256" s="280" t="s">
        <v>246</v>
      </c>
      <c r="C256" s="56" t="str">
        <f t="shared" si="15"/>
        <v>63.5x3.0</v>
      </c>
      <c r="D256" s="56" t="str">
        <f t="shared" si="13"/>
        <v>63.5x3</v>
      </c>
      <c r="E256" s="271" t="str">
        <f t="shared" si="11"/>
        <v>CHS 63.5x3</v>
      </c>
      <c r="F256" s="67">
        <v>4.4760626730183981</v>
      </c>
      <c r="G256" s="69">
        <v>0.57019906662654751</v>
      </c>
      <c r="H256" s="69">
        <v>0.2615253656524324</v>
      </c>
      <c r="I256" s="67">
        <v>8.2370193906277933</v>
      </c>
      <c r="J256" s="68">
        <v>10.989750000000001</v>
      </c>
      <c r="K256" s="68">
        <v>21.416261345062072</v>
      </c>
      <c r="L256" s="69">
        <v>0.52305073130486479</v>
      </c>
    </row>
    <row r="257" spans="1:12">
      <c r="A257" s="59"/>
      <c r="B257" s="280" t="s">
        <v>247</v>
      </c>
      <c r="C257" s="56" t="str">
        <f t="shared" si="15"/>
        <v>63.5x3.5</v>
      </c>
      <c r="D257" s="56" t="str">
        <f t="shared" si="13"/>
        <v>63.5x3.5</v>
      </c>
      <c r="E257" s="271" t="str">
        <f t="shared" si="11"/>
        <v>CHS 63.5x3.5</v>
      </c>
      <c r="F257" s="67">
        <v>5.1789154894427742</v>
      </c>
      <c r="G257" s="69">
        <v>0.6597344572538566</v>
      </c>
      <c r="H257" s="69">
        <v>0.29789072415190537</v>
      </c>
      <c r="I257" s="67">
        <v>9.3823850126584372</v>
      </c>
      <c r="J257" s="68">
        <v>12.614291666666666</v>
      </c>
      <c r="K257" s="68">
        <v>21.249264693160558</v>
      </c>
      <c r="L257" s="69">
        <v>0.59578144830381075</v>
      </c>
    </row>
    <row r="258" spans="1:12">
      <c r="A258" s="59"/>
      <c r="B258" s="280" t="s">
        <v>248</v>
      </c>
      <c r="C258" s="56" t="str">
        <f t="shared" si="15"/>
        <v>63.5x4.0</v>
      </c>
      <c r="D258" s="56" t="str">
        <f t="shared" si="13"/>
        <v>63.5x4</v>
      </c>
      <c r="E258" s="271" t="str">
        <f t="shared" si="11"/>
        <v>CHS 63.5x4</v>
      </c>
      <c r="F258" s="67">
        <v>5.8694375547018112</v>
      </c>
      <c r="G258" s="69">
        <v>0.74769905155437089</v>
      </c>
      <c r="H258" s="69">
        <v>0.33237559401127892</v>
      </c>
      <c r="I258" s="68">
        <v>10.468522646024532</v>
      </c>
      <c r="J258" s="68">
        <v>14.182333333333334</v>
      </c>
      <c r="K258" s="68">
        <v>21.083909741791249</v>
      </c>
      <c r="L258" s="69">
        <v>0.66475118802255784</v>
      </c>
    </row>
    <row r="259" spans="1:12">
      <c r="A259" s="59"/>
      <c r="B259" s="280" t="s">
        <v>249</v>
      </c>
      <c r="C259" s="56" t="str">
        <f t="shared" si="15"/>
        <v>63.5x4.5</v>
      </c>
      <c r="D259" s="56" t="str">
        <f t="shared" si="13"/>
        <v>63.5x4.5</v>
      </c>
      <c r="E259" s="271" t="str">
        <f t="shared" si="11"/>
        <v>CHS 63.5x4.5</v>
      </c>
      <c r="F259" s="67">
        <v>6.5476288687955089</v>
      </c>
      <c r="G259" s="69">
        <v>0.83409284952809037</v>
      </c>
      <c r="H259" s="69">
        <v>0.36504594867627821</v>
      </c>
      <c r="I259" s="68">
        <v>11.497510194528449</v>
      </c>
      <c r="J259" s="68">
        <v>15.694875</v>
      </c>
      <c r="K259" s="68">
        <v>20.920235419325468</v>
      </c>
      <c r="L259" s="69">
        <v>0.73009189735255642</v>
      </c>
    </row>
    <row r="260" spans="1:12" ht="12.75" customHeight="1">
      <c r="A260" s="59"/>
      <c r="B260" s="271"/>
      <c r="C260" s="56" t="str">
        <f t="shared" si="15"/>
        <v/>
      </c>
      <c r="D260" s="56" t="str">
        <f t="shared" si="13"/>
        <v/>
      </c>
      <c r="E260" s="271" t="str">
        <f t="shared" si="11"/>
        <v/>
      </c>
      <c r="F260" s="65" t="s">
        <v>135</v>
      </c>
      <c r="G260" s="65" t="s">
        <v>135</v>
      </c>
      <c r="H260" s="65" t="s">
        <v>135</v>
      </c>
      <c r="I260" s="68" t="s">
        <v>135</v>
      </c>
      <c r="J260" s="68" t="s">
        <v>135</v>
      </c>
      <c r="K260" s="65" t="s">
        <v>135</v>
      </c>
      <c r="L260" s="65" t="s">
        <v>135</v>
      </c>
    </row>
    <row r="261" spans="1:12">
      <c r="A261" s="59"/>
      <c r="B261" s="280" t="s">
        <v>250</v>
      </c>
      <c r="C261" s="56" t="str">
        <f t="shared" si="15"/>
        <v>76.2x2.5</v>
      </c>
      <c r="D261" s="56" t="str">
        <f t="shared" si="13"/>
        <v>76.2x2.5</v>
      </c>
      <c r="E261" s="271" t="str">
        <f t="shared" si="11"/>
        <v>CHS 76.2x2.5</v>
      </c>
      <c r="F261" s="67">
        <v>4.5438818044277713</v>
      </c>
      <c r="G261" s="69">
        <v>0.57883844642391991</v>
      </c>
      <c r="H261" s="69">
        <v>0.39346109266831159</v>
      </c>
      <c r="I261" s="68">
        <v>10.327062799693218</v>
      </c>
      <c r="J261" s="68">
        <v>13.584433333333338</v>
      </c>
      <c r="K261" s="68">
        <v>26.071871816193028</v>
      </c>
      <c r="L261" s="69">
        <v>0.78692218533662317</v>
      </c>
    </row>
    <row r="262" spans="1:12">
      <c r="A262" s="59"/>
      <c r="B262" s="280" t="s">
        <v>251</v>
      </c>
      <c r="C262" s="56" t="str">
        <f t="shared" si="15"/>
        <v>76.2x3.0</v>
      </c>
      <c r="D262" s="56" t="str">
        <f t="shared" si="13"/>
        <v>76.2x3</v>
      </c>
      <c r="E262" s="271" t="str">
        <f t="shared" si="11"/>
        <v>CHS 76.2x3</v>
      </c>
      <c r="F262" s="67">
        <v>5.4156659118173032</v>
      </c>
      <c r="G262" s="69">
        <v>0.68989374672831894</v>
      </c>
      <c r="H262" s="69">
        <v>0.4628531641487631</v>
      </c>
      <c r="I262" s="68">
        <v>12.148377011778559</v>
      </c>
      <c r="J262" s="68">
        <v>16.08372000000001</v>
      </c>
      <c r="K262" s="68">
        <v>25.90183391190671</v>
      </c>
      <c r="L262" s="69">
        <v>0.92570632829752619</v>
      </c>
    </row>
    <row r="263" spans="1:12">
      <c r="A263" s="59"/>
      <c r="B263" s="280" t="s">
        <v>252</v>
      </c>
      <c r="C263" s="56" t="str">
        <f t="shared" si="15"/>
        <v>76.2x3.5</v>
      </c>
      <c r="D263" s="56" t="str">
        <f t="shared" si="13"/>
        <v>76.2x3.5</v>
      </c>
      <c r="E263" s="271" t="str">
        <f t="shared" si="11"/>
        <v>CHS 76.2x3.5</v>
      </c>
      <c r="F263" s="67">
        <v>6.2751192680415011</v>
      </c>
      <c r="G263" s="69">
        <v>0.79937825070592372</v>
      </c>
      <c r="H263" s="69">
        <v>0.52934228228058255</v>
      </c>
      <c r="I263" s="68">
        <v>13.893498222587469</v>
      </c>
      <c r="J263" s="68">
        <v>18.51280666666667</v>
      </c>
      <c r="K263" s="68">
        <v>25.733101251112355</v>
      </c>
      <c r="L263" s="67">
        <v>1.0586845645611651</v>
      </c>
    </row>
    <row r="264" spans="1:12">
      <c r="A264" s="59"/>
      <c r="B264" s="280" t="s">
        <v>253</v>
      </c>
      <c r="C264" s="56" t="str">
        <f t="shared" si="15"/>
        <v>76.2x4.0</v>
      </c>
      <c r="D264" s="56" t="str">
        <f t="shared" si="13"/>
        <v>76.2x4</v>
      </c>
      <c r="E264" s="271" t="str">
        <f t="shared" si="11"/>
        <v>CHS 76.2x4</v>
      </c>
      <c r="F264" s="67">
        <v>7.1222418731003554</v>
      </c>
      <c r="G264" s="69">
        <v>0.90729195835673326</v>
      </c>
      <c r="H264" s="69">
        <v>0.5930105604417526</v>
      </c>
      <c r="I264" s="68">
        <v>15.564581638891143</v>
      </c>
      <c r="J264" s="68">
        <v>20.872693333333331</v>
      </c>
      <c r="K264" s="68">
        <v>25.56569967749758</v>
      </c>
      <c r="L264" s="67">
        <v>1.1860211208835052</v>
      </c>
    </row>
    <row r="265" spans="1:12">
      <c r="A265" s="59"/>
      <c r="B265" s="280" t="s">
        <v>263</v>
      </c>
      <c r="C265" s="56" t="str">
        <f t="shared" si="15"/>
        <v>76.2x4.5</v>
      </c>
      <c r="D265" s="56" t="str">
        <f t="shared" si="13"/>
        <v>76.2x4.5</v>
      </c>
      <c r="E265" s="271" t="str">
        <f t="shared" si="11"/>
        <v>CHS 76.2x4.5</v>
      </c>
      <c r="F265" s="67">
        <v>7.9570337269938571</v>
      </c>
      <c r="G265" s="69">
        <v>1.0136348696807462</v>
      </c>
      <c r="H265" s="69">
        <v>0.65393893391301106</v>
      </c>
      <c r="I265" s="68">
        <v>17.163751546273254</v>
      </c>
      <c r="J265" s="68">
        <v>23.164380000000005</v>
      </c>
      <c r="K265" s="68">
        <v>25.399655509474933</v>
      </c>
      <c r="L265" s="67">
        <v>1.3078778678260221</v>
      </c>
    </row>
    <row r="266" spans="1:12">
      <c r="A266" s="59"/>
      <c r="B266" s="280" t="s">
        <v>254</v>
      </c>
      <c r="C266" s="56" t="str">
        <f t="shared" si="15"/>
        <v>76.2x5.0</v>
      </c>
      <c r="D266" s="56" t="str">
        <f t="shared" si="13"/>
        <v>76.2x5</v>
      </c>
      <c r="E266" s="271" t="str">
        <f t="shared" si="11"/>
        <v>CHS 76.2x5</v>
      </c>
      <c r="F266" s="67">
        <v>8.7794948297220294</v>
      </c>
      <c r="G266" s="69">
        <v>1.1184069846779656</v>
      </c>
      <c r="H266" s="69">
        <v>0.7122071598778521</v>
      </c>
      <c r="I266" s="68">
        <v>18.693101309129975</v>
      </c>
      <c r="J266" s="68">
        <v>25.388866666666669</v>
      </c>
      <c r="K266" s="68">
        <v>25.234995541905693</v>
      </c>
      <c r="L266" s="67">
        <v>1.4244143197557042</v>
      </c>
    </row>
    <row r="267" spans="1:12">
      <c r="A267" s="59"/>
      <c r="B267" s="280" t="s">
        <v>255</v>
      </c>
      <c r="C267" s="56" t="str">
        <f t="shared" si="15"/>
        <v>76.2x6.0</v>
      </c>
      <c r="D267" s="56" t="str">
        <f t="shared" si="13"/>
        <v>76.2x6</v>
      </c>
      <c r="E267" s="271" t="str">
        <f t="shared" si="11"/>
        <v>CHS 76.2x6</v>
      </c>
      <c r="F267" s="67">
        <v>10.387424781682361</v>
      </c>
      <c r="G267" s="69">
        <v>1.3232388256920204</v>
      </c>
      <c r="H267" s="69">
        <v>0.82107630753602734</v>
      </c>
      <c r="I267" s="68">
        <v>21.550559252914102</v>
      </c>
      <c r="J267" s="68">
        <v>29.640240000000002</v>
      </c>
      <c r="K267" s="68">
        <v>24.909937775915864</v>
      </c>
      <c r="L267" s="67">
        <v>1.6421526150720547</v>
      </c>
    </row>
    <row r="268" spans="1:12">
      <c r="A268" s="59"/>
      <c r="B268" s="271"/>
      <c r="C268" s="56" t="str">
        <f t="shared" si="15"/>
        <v/>
      </c>
      <c r="D268" s="56" t="str">
        <f t="shared" si="13"/>
        <v/>
      </c>
      <c r="E268" s="271" t="str">
        <f t="shared" si="11"/>
        <v/>
      </c>
      <c r="F268" s="65" t="s">
        <v>135</v>
      </c>
      <c r="G268" s="65" t="s">
        <v>135</v>
      </c>
      <c r="H268" s="65" t="s">
        <v>135</v>
      </c>
      <c r="I268" s="68" t="s">
        <v>135</v>
      </c>
      <c r="J268" s="68" t="s">
        <v>135</v>
      </c>
      <c r="K268" s="65" t="s">
        <v>135</v>
      </c>
      <c r="L268" s="67" t="s">
        <v>135</v>
      </c>
    </row>
    <row r="269" spans="1:12">
      <c r="A269" s="59"/>
      <c r="B269" s="280" t="s">
        <v>261</v>
      </c>
      <c r="C269" s="56" t="str">
        <f t="shared" si="15"/>
        <v>88.9x2.5</v>
      </c>
      <c r="D269" s="56" t="str">
        <f t="shared" si="13"/>
        <v>88.9x2.5</v>
      </c>
      <c r="E269" s="271" t="str">
        <f t="shared" si="11"/>
        <v>CHS 88.9x2.5</v>
      </c>
      <c r="F269" s="67">
        <v>5.3268845034268537</v>
      </c>
      <c r="G269" s="69">
        <v>0.67858401317539541</v>
      </c>
      <c r="H269" s="69">
        <v>0.63373045813451812</v>
      </c>
      <c r="I269" s="68">
        <v>14.257153163881172</v>
      </c>
      <c r="J269" s="68">
        <v>18.667608333333337</v>
      </c>
      <c r="K269" s="68">
        <v>30.559797937813659</v>
      </c>
      <c r="L269" s="67">
        <v>1.2674609162690362</v>
      </c>
    </row>
    <row r="270" spans="1:12">
      <c r="A270" s="59"/>
      <c r="B270" s="280" t="s">
        <v>257</v>
      </c>
      <c r="C270" s="56" t="str">
        <f t="shared" si="15"/>
        <v>88.9x3.0</v>
      </c>
      <c r="D270" s="56" t="str">
        <f t="shared" si="13"/>
        <v>88.9x3</v>
      </c>
      <c r="E270" s="271" t="str">
        <f t="shared" si="11"/>
        <v>CHS 88.9x3</v>
      </c>
      <c r="F270" s="67">
        <v>6.3552691506162047</v>
      </c>
      <c r="G270" s="69">
        <v>0.8095884268300898</v>
      </c>
      <c r="H270" s="69">
        <v>0.74763568445245043</v>
      </c>
      <c r="I270" s="68">
        <v>16.819700437625428</v>
      </c>
      <c r="J270" s="68">
        <v>22.145430000000012</v>
      </c>
      <c r="K270" s="68">
        <v>30.38875203097356</v>
      </c>
      <c r="L270" s="67">
        <v>1.4952713689049009</v>
      </c>
    </row>
    <row r="271" spans="1:12">
      <c r="A271" s="59"/>
      <c r="B271" s="280" t="s">
        <v>258</v>
      </c>
      <c r="C271" s="56" t="str">
        <f t="shared" si="15"/>
        <v>88.9x3.5</v>
      </c>
      <c r="D271" s="56" t="str">
        <f t="shared" si="13"/>
        <v>88.9x3.5</v>
      </c>
      <c r="E271" s="271" t="str">
        <f t="shared" si="11"/>
        <v>CHS 88.9x3.5</v>
      </c>
      <c r="F271" s="67">
        <v>7.3713230466402182</v>
      </c>
      <c r="G271" s="69">
        <v>0.93902204415798962</v>
      </c>
      <c r="H271" s="69">
        <v>0.85749262895152711</v>
      </c>
      <c r="I271" s="68">
        <v>19.291172754815005</v>
      </c>
      <c r="J271" s="68">
        <v>25.540351666666684</v>
      </c>
      <c r="K271" s="68">
        <v>30.218806230557814</v>
      </c>
      <c r="L271" s="67">
        <v>1.7149852579030542</v>
      </c>
    </row>
    <row r="272" spans="1:12">
      <c r="A272" s="59"/>
      <c r="B272" s="280" t="s">
        <v>259</v>
      </c>
      <c r="C272" s="56" t="str">
        <f t="shared" si="15"/>
        <v>88.9x4.0</v>
      </c>
      <c r="D272" s="56" t="str">
        <f t="shared" si="13"/>
        <v>88.9x4</v>
      </c>
      <c r="E272" s="271" t="str">
        <f t="shared" si="11"/>
        <v>CHS 88.9x4</v>
      </c>
      <c r="F272" s="67">
        <v>8.3750461914988925</v>
      </c>
      <c r="G272" s="67">
        <v>1.0668848651590945</v>
      </c>
      <c r="H272" s="69">
        <v>0.96339836684474334</v>
      </c>
      <c r="I272" s="68">
        <v>21.673754034752381</v>
      </c>
      <c r="J272" s="68">
        <v>28.85337333333333</v>
      </c>
      <c r="K272" s="68">
        <v>30.049979201323911</v>
      </c>
      <c r="L272" s="67">
        <v>1.9267967336894867</v>
      </c>
    </row>
    <row r="273" spans="1:12">
      <c r="A273" s="59"/>
      <c r="B273" s="280" t="s">
        <v>262</v>
      </c>
      <c r="C273" s="56" t="str">
        <f t="shared" si="15"/>
        <v>88.9x4.5</v>
      </c>
      <c r="D273" s="56" t="str">
        <f t="shared" si="13"/>
        <v>88.9x4.5</v>
      </c>
      <c r="E273" s="271" t="str">
        <f t="shared" si="11"/>
        <v>CHS 88.9x4.5</v>
      </c>
      <c r="F273" s="67">
        <v>9.3664385851922241</v>
      </c>
      <c r="G273" s="67">
        <v>1.1931768898334043</v>
      </c>
      <c r="H273" s="67">
        <v>1.0654487952478502</v>
      </c>
      <c r="I273" s="68">
        <v>23.969601692865023</v>
      </c>
      <c r="J273" s="68">
        <v>32.085495000000002</v>
      </c>
      <c r="K273" s="68">
        <v>29.882289905561116</v>
      </c>
      <c r="L273" s="67">
        <v>2.1308975904957004</v>
      </c>
    </row>
    <row r="274" spans="1:12">
      <c r="A274" s="59"/>
      <c r="B274" s="280" t="s">
        <v>260</v>
      </c>
      <c r="C274" s="56" t="str">
        <f t="shared" si="15"/>
        <v>88.9x5.0</v>
      </c>
      <c r="D274" s="56" t="str">
        <f t="shared" si="13"/>
        <v>88.9x5</v>
      </c>
      <c r="E274" s="271" t="str">
        <f t="shared" si="11"/>
        <v>CHS 88.9x5</v>
      </c>
      <c r="F274" s="68">
        <v>10.3455002277202</v>
      </c>
      <c r="G274" s="67">
        <v>1.3178981181809173</v>
      </c>
      <c r="H274" s="67">
        <v>1.1637386331793522</v>
      </c>
      <c r="I274" s="68">
        <v>26.180846640705337</v>
      </c>
      <c r="J274" s="68">
        <v>35.237716666666671</v>
      </c>
      <c r="K274" s="68">
        <v>29.715757604341842</v>
      </c>
      <c r="L274" s="67">
        <v>2.3274772663587044</v>
      </c>
    </row>
    <row r="275" spans="1:12">
      <c r="A275" s="59"/>
      <c r="B275" s="280" t="s">
        <v>256</v>
      </c>
      <c r="C275" s="56" t="str">
        <f t="shared" si="15"/>
        <v>88.9x6.0</v>
      </c>
      <c r="D275" s="56" t="str">
        <f t="shared" si="13"/>
        <v>88.9x6</v>
      </c>
      <c r="E275" s="271" t="str">
        <f t="shared" si="11"/>
        <v>CHS 88.9x6</v>
      </c>
      <c r="F275" s="68">
        <v>12.266631259280166</v>
      </c>
      <c r="G275" s="67">
        <v>1.5626281858955626</v>
      </c>
      <c r="H275" s="67">
        <v>1.3494095232153454</v>
      </c>
      <c r="I275" s="68">
        <v>30.35791953240372</v>
      </c>
      <c r="J275" s="68">
        <v>41.306460000000023</v>
      </c>
      <c r="K275" s="68">
        <v>29.386242529455853</v>
      </c>
      <c r="L275" s="67">
        <v>2.6988190464306907</v>
      </c>
    </row>
    <row r="276" spans="1:12">
      <c r="A276" s="59"/>
      <c r="B276" s="271"/>
      <c r="C276" s="56" t="str">
        <f t="shared" si="15"/>
        <v/>
      </c>
      <c r="D276" s="56" t="str">
        <f t="shared" si="13"/>
        <v/>
      </c>
      <c r="E276" s="271" t="str">
        <f t="shared" si="11"/>
        <v/>
      </c>
      <c r="F276" s="65" t="s">
        <v>135</v>
      </c>
      <c r="G276" s="65" t="s">
        <v>135</v>
      </c>
      <c r="H276" s="65" t="s">
        <v>135</v>
      </c>
      <c r="I276" s="68" t="s">
        <v>135</v>
      </c>
      <c r="J276" s="68" t="s">
        <v>135</v>
      </c>
      <c r="K276" s="65" t="s">
        <v>135</v>
      </c>
      <c r="L276" s="67" t="s">
        <v>135</v>
      </c>
    </row>
    <row r="277" spans="1:12">
      <c r="A277" s="59"/>
      <c r="B277" s="280" t="s">
        <v>264</v>
      </c>
      <c r="C277" s="56" t="str">
        <f t="shared" si="15"/>
        <v>101.6x2.5</v>
      </c>
      <c r="D277" s="56" t="str">
        <f t="shared" si="13"/>
        <v>101.6x2.5</v>
      </c>
      <c r="E277" s="271" t="str">
        <f t="shared" si="11"/>
        <v>CHS 101.6x2.5</v>
      </c>
      <c r="F277" s="67">
        <v>6.1098872024259423</v>
      </c>
      <c r="G277" s="69">
        <v>0.77832957992687168</v>
      </c>
      <c r="H277" s="69">
        <v>0.9560864352145203</v>
      </c>
      <c r="I277" s="68">
        <v>18.820599118396071</v>
      </c>
      <c r="J277" s="68">
        <v>24.557233333333336</v>
      </c>
      <c r="K277" s="68">
        <v>35.048288117966614</v>
      </c>
      <c r="L277" s="67">
        <v>1.9121728704290406</v>
      </c>
    </row>
    <row r="278" spans="1:12">
      <c r="A278" s="59"/>
      <c r="B278" s="280" t="s">
        <v>265</v>
      </c>
      <c r="C278" s="56" t="str">
        <f t="shared" si="15"/>
        <v>101.6x3.0</v>
      </c>
      <c r="D278" s="56" t="str">
        <f t="shared" si="13"/>
        <v>101.6x3</v>
      </c>
      <c r="E278" s="271" t="str">
        <f t="shared" si="11"/>
        <v>CHS 101.6x3</v>
      </c>
      <c r="F278" s="67">
        <v>7.2948723894151204</v>
      </c>
      <c r="G278" s="69">
        <v>0.92928310693186256</v>
      </c>
      <c r="H278" s="67">
        <v>1.1303520927787096</v>
      </c>
      <c r="I278" s="68">
        <v>22.251025448399798</v>
      </c>
      <c r="J278" s="68">
        <v>29.174880000000005</v>
      </c>
      <c r="K278" s="68">
        <v>34.876496383667899</v>
      </c>
      <c r="L278" s="67">
        <v>2.2607041855574193</v>
      </c>
    </row>
    <row r="279" spans="1:12">
      <c r="A279" s="59"/>
      <c r="B279" s="280" t="s">
        <v>266</v>
      </c>
      <c r="C279" s="56" t="str">
        <f t="shared" si="15"/>
        <v>101.6x3.5</v>
      </c>
      <c r="D279" s="56" t="str">
        <f t="shared" si="13"/>
        <v>101.6x3.5</v>
      </c>
      <c r="E279" s="271" t="str">
        <f t="shared" si="11"/>
        <v>CHS 101.6x3.5</v>
      </c>
      <c r="F279" s="67">
        <v>8.4675268252389468</v>
      </c>
      <c r="G279" s="67">
        <v>1.0786658376100571</v>
      </c>
      <c r="H279" s="67">
        <v>1.299234124749155</v>
      </c>
      <c r="I279" s="68">
        <v>25.575474896636909</v>
      </c>
      <c r="J279" s="68">
        <v>33.696926666666698</v>
      </c>
      <c r="K279" s="68">
        <v>34.705655158777788</v>
      </c>
      <c r="L279" s="67">
        <v>2.59846824949831</v>
      </c>
    </row>
    <row r="280" spans="1:12">
      <c r="A280" s="59"/>
      <c r="B280" s="280" t="s">
        <v>267</v>
      </c>
      <c r="C280" s="56" t="str">
        <f t="shared" si="15"/>
        <v>101.6x4.0</v>
      </c>
      <c r="D280" s="56" t="str">
        <f t="shared" si="13"/>
        <v>101.6x4</v>
      </c>
      <c r="E280" s="271" t="str">
        <f t="shared" si="11"/>
        <v>CHS 101.6x4</v>
      </c>
      <c r="F280" s="67">
        <v>9.6278505098974332</v>
      </c>
      <c r="G280" s="67">
        <v>1.2264777719614566</v>
      </c>
      <c r="H280" s="67">
        <v>1.4628445681738678</v>
      </c>
      <c r="I280" s="68">
        <v>28.796152916808424</v>
      </c>
      <c r="J280" s="68">
        <v>38.124373333333331</v>
      </c>
      <c r="K280" s="68">
        <v>34.535778549208928</v>
      </c>
      <c r="L280" s="67">
        <v>2.9256891363477355</v>
      </c>
    </row>
    <row r="281" spans="1:12">
      <c r="A281" s="59"/>
      <c r="B281" s="280" t="s">
        <v>268</v>
      </c>
      <c r="C281" s="56" t="str">
        <f t="shared" si="15"/>
        <v>101.6x4.5</v>
      </c>
      <c r="D281" s="56" t="str">
        <f t="shared" si="13"/>
        <v>101.6x4.5</v>
      </c>
      <c r="E281" s="271" t="str">
        <f t="shared" si="11"/>
        <v>CHS 101.6x4.5</v>
      </c>
      <c r="F281" s="68">
        <v>10.775843443390587</v>
      </c>
      <c r="G281" s="67">
        <v>1.3727189099860619</v>
      </c>
      <c r="H281" s="67">
        <v>1.6212942820036131</v>
      </c>
      <c r="I281" s="68">
        <v>31.915241771724666</v>
      </c>
      <c r="J281" s="68">
        <v>42.458220000000011</v>
      </c>
      <c r="K281" s="68">
        <v>34.366880859338977</v>
      </c>
      <c r="L281" s="67">
        <v>3.2425885640072263</v>
      </c>
    </row>
    <row r="282" spans="1:12">
      <c r="A282" s="59"/>
      <c r="B282" s="280" t="s">
        <v>269</v>
      </c>
      <c r="C282" s="56" t="str">
        <f t="shared" si="15"/>
        <v>101.6x5.0</v>
      </c>
      <c r="D282" s="56" t="str">
        <f t="shared" si="13"/>
        <v>101.6x5</v>
      </c>
      <c r="E282" s="271" t="str">
        <f t="shared" si="11"/>
        <v>CHS 101.6x5</v>
      </c>
      <c r="F282" s="68">
        <v>11.911505625718378</v>
      </c>
      <c r="G282" s="67">
        <v>1.5173892516838698</v>
      </c>
      <c r="H282" s="67">
        <v>1.7746929470919033</v>
      </c>
      <c r="I282" s="68">
        <v>34.934900533305182</v>
      </c>
      <c r="J282" s="68">
        <v>46.699466666666673</v>
      </c>
      <c r="K282" s="68">
        <v>34.198976592874821</v>
      </c>
      <c r="L282" s="67">
        <v>3.5493858941838066</v>
      </c>
    </row>
    <row r="283" spans="1:12">
      <c r="A283" s="59"/>
      <c r="B283" s="280" t="s">
        <v>270</v>
      </c>
      <c r="C283" s="56" t="str">
        <f t="shared" si="15"/>
        <v>101.6x6.0</v>
      </c>
      <c r="D283" s="56" t="str">
        <f t="shared" si="13"/>
        <v>101.6x6</v>
      </c>
      <c r="E283" s="271" t="str">
        <f t="shared" si="11"/>
        <v>CHS 101.6x6</v>
      </c>
      <c r="F283" s="68">
        <v>14.145837736877978</v>
      </c>
      <c r="G283" s="67">
        <v>1.8020175460991055</v>
      </c>
      <c r="H283" s="67">
        <v>2.0667699639719861</v>
      </c>
      <c r="I283" s="68">
        <v>40.684448109684773</v>
      </c>
      <c r="J283" s="68">
        <v>54.908160000000017</v>
      </c>
      <c r="K283" s="68">
        <v>33.866207345966572</v>
      </c>
      <c r="L283" s="67">
        <v>4.1335399279439722</v>
      </c>
    </row>
    <row r="284" spans="1:12" ht="12.75" customHeight="1">
      <c r="A284" s="59"/>
      <c r="B284" s="271"/>
      <c r="C284" s="56" t="str">
        <f t="shared" si="15"/>
        <v/>
      </c>
      <c r="D284" s="56" t="str">
        <f t="shared" si="13"/>
        <v/>
      </c>
      <c r="E284" s="271" t="str">
        <f t="shared" si="11"/>
        <v/>
      </c>
      <c r="F284" s="65" t="s">
        <v>135</v>
      </c>
      <c r="G284" s="65" t="s">
        <v>135</v>
      </c>
      <c r="H284" s="65" t="s">
        <v>135</v>
      </c>
      <c r="I284" s="68" t="s">
        <v>135</v>
      </c>
      <c r="J284" s="68" t="s">
        <v>135</v>
      </c>
      <c r="K284" s="65" t="s">
        <v>135</v>
      </c>
      <c r="L284" s="67" t="s">
        <v>135</v>
      </c>
    </row>
    <row r="285" spans="1:12">
      <c r="A285" s="59"/>
      <c r="B285" s="280" t="s">
        <v>271</v>
      </c>
      <c r="C285" s="56" t="str">
        <f t="shared" si="15"/>
        <v>114.3x2.5</v>
      </c>
      <c r="D285" s="56" t="str">
        <f t="shared" si="13"/>
        <v>114.3x2.5</v>
      </c>
      <c r="E285" s="271" t="str">
        <f t="shared" si="11"/>
        <v>CHS 114.3x2.5</v>
      </c>
      <c r="F285" s="67">
        <v>6.8928899014250309</v>
      </c>
      <c r="G285" s="69">
        <v>0.87807514667834796</v>
      </c>
      <c r="H285" s="67">
        <v>1.3725949957543269</v>
      </c>
      <c r="I285" s="68">
        <v>24.017410249419544</v>
      </c>
      <c r="J285" s="68">
        <v>31.253308333333347</v>
      </c>
      <c r="K285" s="68">
        <v>39.537150251377504</v>
      </c>
      <c r="L285" s="67">
        <v>2.7451899915086537</v>
      </c>
    </row>
    <row r="286" spans="1:12">
      <c r="A286" s="59"/>
      <c r="B286" s="280" t="s">
        <v>272</v>
      </c>
      <c r="C286" s="56" t="str">
        <f t="shared" si="15"/>
        <v>114.3x3.0</v>
      </c>
      <c r="D286" s="56" t="str">
        <f t="shared" si="13"/>
        <v>114.3x3</v>
      </c>
      <c r="E286" s="271" t="str">
        <f t="shared" si="11"/>
        <v>CHS 114.3x3</v>
      </c>
      <c r="F286" s="67">
        <v>8.2344756282140175</v>
      </c>
      <c r="G286" s="67">
        <v>1.0489777870336328</v>
      </c>
      <c r="H286" s="67">
        <v>1.6254815553427457</v>
      </c>
      <c r="I286" s="68">
        <v>28.442371922007798</v>
      </c>
      <c r="J286" s="68">
        <v>37.172069999999991</v>
      </c>
      <c r="K286" s="68">
        <v>39.364784389095796</v>
      </c>
      <c r="L286" s="67">
        <v>3.2509631106854915</v>
      </c>
    </row>
    <row r="287" spans="1:12">
      <c r="A287" s="59"/>
      <c r="B287" s="280" t="s">
        <v>273</v>
      </c>
      <c r="C287" s="56" t="str">
        <f t="shared" si="15"/>
        <v>114.3x3.5</v>
      </c>
      <c r="D287" s="56" t="str">
        <f t="shared" si="13"/>
        <v>114.3x3.5</v>
      </c>
      <c r="E287" s="271" t="str">
        <f t="shared" si="11"/>
        <v>CHS 114.3x3.5</v>
      </c>
      <c r="F287" s="67">
        <v>9.5637306038376604</v>
      </c>
      <c r="G287" s="67">
        <v>1.2183096310621224</v>
      </c>
      <c r="H287" s="67">
        <v>1.871459130257876</v>
      </c>
      <c r="I287" s="68">
        <v>32.746441474328542</v>
      </c>
      <c r="J287" s="68">
        <v>42.982531666666695</v>
      </c>
      <c r="K287" s="68">
        <v>39.193255159529684</v>
      </c>
      <c r="L287" s="67">
        <v>3.742918260515752</v>
      </c>
    </row>
    <row r="288" spans="1:12">
      <c r="A288" s="59"/>
      <c r="B288" s="280" t="s">
        <v>274</v>
      </c>
      <c r="C288" s="56" t="str">
        <f t="shared" si="15"/>
        <v>114.3x4.0</v>
      </c>
      <c r="D288" s="56" t="str">
        <f t="shared" si="13"/>
        <v>114.3x4</v>
      </c>
      <c r="E288" s="271" t="str">
        <f t="shared" si="11"/>
        <v>CHS 114.3x4</v>
      </c>
      <c r="F288" s="68">
        <v>10.880654828295974</v>
      </c>
      <c r="G288" s="67">
        <v>1.3860706787638184</v>
      </c>
      <c r="H288" s="67">
        <v>2.1106547193827403</v>
      </c>
      <c r="I288" s="68">
        <v>36.931841109059327</v>
      </c>
      <c r="J288" s="68">
        <v>48.685693333333361</v>
      </c>
      <c r="K288" s="68">
        <v>39.022573595292251</v>
      </c>
      <c r="L288" s="67">
        <v>4.2213094387654806</v>
      </c>
    </row>
    <row r="289" spans="1:12">
      <c r="A289" s="59"/>
      <c r="B289" s="280" t="s">
        <v>275</v>
      </c>
      <c r="C289" s="56" t="str">
        <f t="shared" si="15"/>
        <v>114.3x4.5</v>
      </c>
      <c r="D289" s="56" t="str">
        <f t="shared" si="13"/>
        <v>114.3x4.5</v>
      </c>
      <c r="E289" s="271" t="str">
        <f t="shared" si="11"/>
        <v>CHS 114.3x4.5</v>
      </c>
      <c r="F289" s="68">
        <v>12.185248301588937</v>
      </c>
      <c r="G289" s="67">
        <v>1.552260930138718</v>
      </c>
      <c r="H289" s="67">
        <v>2.3431941435031116</v>
      </c>
      <c r="I289" s="68">
        <v>41.00077241475261</v>
      </c>
      <c r="J289" s="68">
        <v>54.282554999999974</v>
      </c>
      <c r="K289" s="68">
        <v>38.852750867860046</v>
      </c>
      <c r="L289" s="67">
        <v>4.6863882870062232</v>
      </c>
    </row>
    <row r="290" spans="1:12">
      <c r="A290" s="59"/>
      <c r="B290" s="280" t="s">
        <v>276</v>
      </c>
      <c r="C290" s="56" t="str">
        <f t="shared" si="15"/>
        <v>114.3x5.0</v>
      </c>
      <c r="D290" s="56" t="str">
        <f t="shared" si="13"/>
        <v>114.3x5</v>
      </c>
      <c r="E290" s="271" t="str">
        <f t="shared" si="11"/>
        <v>CHS 114.3x5</v>
      </c>
      <c r="F290" s="68">
        <v>13.477511023716543</v>
      </c>
      <c r="G290" s="67">
        <v>1.7168803851868208</v>
      </c>
      <c r="H290" s="67">
        <v>2.5692020453075219</v>
      </c>
      <c r="I290" s="68">
        <v>44.955416365835909</v>
      </c>
      <c r="J290" s="68">
        <v>59.774116666666657</v>
      </c>
      <c r="K290" s="68">
        <v>38.683798288172277</v>
      </c>
      <c r="L290" s="67">
        <v>5.1384040906150439</v>
      </c>
    </row>
    <row r="291" spans="1:12">
      <c r="A291" s="59"/>
      <c r="B291" s="280" t="s">
        <v>277</v>
      </c>
      <c r="C291" s="56" t="str">
        <f t="shared" si="15"/>
        <v>114.3x6.0</v>
      </c>
      <c r="D291" s="56" t="str">
        <f t="shared" si="13"/>
        <v>114.3x6</v>
      </c>
      <c r="E291" s="271" t="str">
        <f t="shared" si="11"/>
        <v>CHS 114.3x6</v>
      </c>
      <c r="F291" s="68">
        <v>16.025044214475777</v>
      </c>
      <c r="G291" s="67">
        <v>2.041406906302647</v>
      </c>
      <c r="H291" s="67">
        <v>3.0021159622363691</v>
      </c>
      <c r="I291" s="68">
        <v>52.530463031257561</v>
      </c>
      <c r="J291" s="68">
        <v>70.445340000000002</v>
      </c>
      <c r="K291" s="68">
        <v>38.348549516246379</v>
      </c>
      <c r="L291" s="67">
        <v>6.0042319244727382</v>
      </c>
    </row>
    <row r="292" spans="1:12">
      <c r="A292" s="59"/>
      <c r="B292" s="271"/>
      <c r="C292" s="56" t="str">
        <f t="shared" si="15"/>
        <v/>
      </c>
      <c r="D292" s="56" t="str">
        <f t="shared" si="13"/>
        <v/>
      </c>
      <c r="E292" s="271" t="str">
        <f t="shared" si="11"/>
        <v/>
      </c>
      <c r="F292" s="65" t="s">
        <v>135</v>
      </c>
      <c r="G292" s="65" t="s">
        <v>135</v>
      </c>
      <c r="H292" s="65" t="s">
        <v>135</v>
      </c>
      <c r="I292" s="68" t="s">
        <v>135</v>
      </c>
      <c r="J292" s="68" t="s">
        <v>135</v>
      </c>
      <c r="K292" s="65" t="s">
        <v>135</v>
      </c>
      <c r="L292" s="67" t="s">
        <v>135</v>
      </c>
    </row>
    <row r="293" spans="1:12">
      <c r="A293" s="59"/>
      <c r="B293" s="280" t="s">
        <v>278</v>
      </c>
      <c r="C293" s="56" t="str">
        <f t="shared" si="15"/>
        <v>127.0x2.5</v>
      </c>
      <c r="D293" s="56" t="str">
        <f t="shared" si="13"/>
        <v>127x2.5</v>
      </c>
      <c r="E293" s="271" t="str">
        <f t="shared" si="11"/>
        <v>CHS 127x2.5</v>
      </c>
      <c r="F293" s="67">
        <v>7.6758926004241204</v>
      </c>
      <c r="G293" s="69">
        <v>0.97782071342982424</v>
      </c>
      <c r="H293" s="67">
        <v>1.8953221115999448</v>
      </c>
      <c r="I293" s="68">
        <v>29.847592308660548</v>
      </c>
      <c r="J293" s="68">
        <v>38.755833333333335</v>
      </c>
      <c r="K293" s="68">
        <v>44.026270566560576</v>
      </c>
      <c r="L293" s="67">
        <v>3.7906442231998896</v>
      </c>
    </row>
    <row r="294" spans="1:12">
      <c r="A294" s="59"/>
      <c r="B294" s="280" t="s">
        <v>279</v>
      </c>
      <c r="C294" s="56" t="str">
        <f t="shared" si="15"/>
        <v>127.0x3.0</v>
      </c>
      <c r="D294" s="56" t="str">
        <f t="shared" si="13"/>
        <v>127x3</v>
      </c>
      <c r="E294" s="271" t="str">
        <f t="shared" si="11"/>
        <v>CHS 127x3</v>
      </c>
      <c r="F294" s="67">
        <v>9.1740788670129234</v>
      </c>
      <c r="G294" s="67">
        <v>1.1686724671354043</v>
      </c>
      <c r="H294" s="67">
        <v>2.2475032383597737</v>
      </c>
      <c r="I294" s="68">
        <v>35.393751785193288</v>
      </c>
      <c r="J294" s="68">
        <v>46.137</v>
      </c>
      <c r="K294" s="68">
        <v>43.853449123187552</v>
      </c>
      <c r="L294" s="67">
        <v>4.4950064767195475</v>
      </c>
    </row>
    <row r="295" spans="1:12">
      <c r="A295" s="59"/>
      <c r="B295" s="280" t="s">
        <v>280</v>
      </c>
      <c r="C295" s="56" t="str">
        <f t="shared" si="15"/>
        <v>127.0x3.5</v>
      </c>
      <c r="D295" s="56" t="str">
        <f t="shared" si="13"/>
        <v>127x3.5</v>
      </c>
      <c r="E295" s="271" t="str">
        <f t="shared" si="11"/>
        <v>CHS 127x3.5</v>
      </c>
      <c r="F295" s="68">
        <v>10.659934382436385</v>
      </c>
      <c r="G295" s="67">
        <v>1.3579534245141891</v>
      </c>
      <c r="H295" s="67">
        <v>2.5910600060621038</v>
      </c>
      <c r="I295" s="68">
        <v>40.804094583655178</v>
      </c>
      <c r="J295" s="68">
        <v>53.397166666666664</v>
      </c>
      <c r="K295" s="68">
        <v>43.681374749428379</v>
      </c>
      <c r="L295" s="67">
        <v>5.1821200121242077</v>
      </c>
    </row>
    <row r="296" spans="1:12">
      <c r="A296" s="59"/>
      <c r="B296" s="280" t="s">
        <v>281</v>
      </c>
      <c r="C296" s="56" t="str">
        <f t="shared" si="15"/>
        <v>127.0x4.0</v>
      </c>
      <c r="D296" s="56" t="str">
        <f t="shared" si="13"/>
        <v>127x4</v>
      </c>
      <c r="E296" s="271" t="str">
        <f t="shared" si="11"/>
        <v>CHS 127x4</v>
      </c>
      <c r="F296" s="68">
        <v>12.133459146694515</v>
      </c>
      <c r="G296" s="67">
        <v>1.5456635855661802</v>
      </c>
      <c r="H296" s="67">
        <v>2.926134375424974</v>
      </c>
      <c r="I296" s="68">
        <v>46.080856305905108</v>
      </c>
      <c r="J296" s="68">
        <v>60.537333333333336</v>
      </c>
      <c r="K296" s="68">
        <v>43.510056308858069</v>
      </c>
      <c r="L296" s="67">
        <v>5.852268750849948</v>
      </c>
    </row>
    <row r="297" spans="1:12">
      <c r="A297" s="59"/>
      <c r="B297" s="280" t="s">
        <v>282</v>
      </c>
      <c r="C297" s="56" t="str">
        <f t="shared" si="15"/>
        <v>127.0x4.5</v>
      </c>
      <c r="D297" s="56" t="str">
        <f t="shared" si="13"/>
        <v>127x4.5</v>
      </c>
      <c r="E297" s="271" t="str">
        <f t="shared" si="11"/>
        <v>CHS 127x4.5</v>
      </c>
      <c r="F297" s="68">
        <v>13.594653159787294</v>
      </c>
      <c r="G297" s="67">
        <v>1.731802950291375</v>
      </c>
      <c r="H297" s="67">
        <v>3.2528671290691671</v>
      </c>
      <c r="I297" s="68">
        <v>51.226254001089245</v>
      </c>
      <c r="J297" s="68">
        <v>67.558499999999995</v>
      </c>
      <c r="K297" s="68">
        <v>43.339502765952439</v>
      </c>
      <c r="L297" s="67">
        <v>6.5057342581383342</v>
      </c>
    </row>
    <row r="298" spans="1:12">
      <c r="A298" s="59"/>
      <c r="B298" s="280" t="s">
        <v>283</v>
      </c>
      <c r="C298" s="56" t="str">
        <f t="shared" si="15"/>
        <v>127.0x5.0</v>
      </c>
      <c r="D298" s="56" t="str">
        <f t="shared" si="13"/>
        <v>127x5</v>
      </c>
      <c r="E298" s="271" t="str">
        <f t="shared" si="11"/>
        <v>CHS 127x5</v>
      </c>
      <c r="F298" s="68">
        <v>15.04351642171472</v>
      </c>
      <c r="G298" s="67">
        <v>1.9163715186897734</v>
      </c>
      <c r="H298" s="67">
        <v>3.5713978715182275</v>
      </c>
      <c r="I298" s="68">
        <v>56.242486165641381</v>
      </c>
      <c r="J298" s="68">
        <v>74.461666666666673</v>
      </c>
      <c r="K298" s="68">
        <v>43.169723186511163</v>
      </c>
      <c r="L298" s="67">
        <v>7.142795743036455</v>
      </c>
    </row>
    <row r="299" spans="1:12">
      <c r="A299" s="59"/>
      <c r="B299" s="280" t="s">
        <v>284</v>
      </c>
      <c r="C299" s="56" t="str">
        <f t="shared" si="15"/>
        <v>127.0x6.0</v>
      </c>
      <c r="D299" s="56" t="str">
        <f t="shared" si="13"/>
        <v>127x6</v>
      </c>
      <c r="E299" s="271" t="str">
        <f t="shared" si="11"/>
        <v>CHS 127x6</v>
      </c>
      <c r="F299" s="68">
        <v>17.904250692073592</v>
      </c>
      <c r="G299" s="67">
        <v>2.2807962665061901</v>
      </c>
      <c r="H299" s="67">
        <v>4.1844058504389183</v>
      </c>
      <c r="I299" s="68">
        <v>65.896155125022347</v>
      </c>
      <c r="J299" s="68">
        <v>87.918000000000006</v>
      </c>
      <c r="K299" s="68">
        <v>42.832522690124144</v>
      </c>
      <c r="L299" s="67">
        <v>8.3688117008778367</v>
      </c>
    </row>
    <row r="300" spans="1:12">
      <c r="A300" s="59"/>
      <c r="B300" s="271"/>
      <c r="C300" s="56" t="str">
        <f t="shared" si="15"/>
        <v/>
      </c>
      <c r="D300" s="56" t="str">
        <f t="shared" si="13"/>
        <v/>
      </c>
      <c r="E300" s="271" t="str">
        <f t="shared" si="11"/>
        <v/>
      </c>
      <c r="F300" s="68" t="s">
        <v>135</v>
      </c>
      <c r="G300" s="67" t="s">
        <v>135</v>
      </c>
      <c r="H300" s="67" t="s">
        <v>135</v>
      </c>
      <c r="I300" s="68" t="s">
        <v>135</v>
      </c>
      <c r="J300" s="68" t="s">
        <v>135</v>
      </c>
      <c r="K300" s="65" t="s">
        <v>135</v>
      </c>
      <c r="L300" s="67" t="s">
        <v>135</v>
      </c>
    </row>
    <row r="301" spans="1:12">
      <c r="A301" s="59"/>
      <c r="B301" s="280" t="s">
        <v>285</v>
      </c>
      <c r="C301" s="56" t="str">
        <f t="shared" si="15"/>
        <v>139.7x3.0</v>
      </c>
      <c r="D301" s="56" t="str">
        <f t="shared" si="13"/>
        <v>139.7x3</v>
      </c>
      <c r="E301" s="271" t="str">
        <f t="shared" si="11"/>
        <v>CHS 139.7x3</v>
      </c>
      <c r="F301" s="68">
        <v>10.113682105811819</v>
      </c>
      <c r="G301" s="67">
        <v>1.2883671472371745</v>
      </c>
      <c r="H301" s="67">
        <v>3.0108963080450004</v>
      </c>
      <c r="I301" s="68">
        <v>43.105172627702224</v>
      </c>
      <c r="J301" s="68">
        <v>56.069669999999924</v>
      </c>
      <c r="K301" s="68">
        <v>48.34238564655243</v>
      </c>
      <c r="L301" s="67">
        <v>6.0217926160900008</v>
      </c>
    </row>
    <row r="302" spans="1:12">
      <c r="A302" s="59"/>
      <c r="B302" s="280" t="s">
        <v>286</v>
      </c>
      <c r="C302" s="56" t="str">
        <f t="shared" si="15"/>
        <v>139.7x3.5</v>
      </c>
      <c r="D302" s="56" t="str">
        <f t="shared" si="13"/>
        <v>139.7x3.5</v>
      </c>
      <c r="E302" s="271" t="str">
        <f t="shared" si="11"/>
        <v>CHS 139.7x3.5</v>
      </c>
      <c r="F302" s="68">
        <v>11.756138161035096</v>
      </c>
      <c r="G302" s="67">
        <v>1.4975972179662544</v>
      </c>
      <c r="H302" s="67">
        <v>3.47492911274625</v>
      </c>
      <c r="I302" s="68">
        <v>49.748448285558347</v>
      </c>
      <c r="J302" s="68">
        <v>64.940831666666625</v>
      </c>
      <c r="K302" s="68">
        <v>48.169868694029041</v>
      </c>
      <c r="L302" s="67">
        <v>6.9498582254925001</v>
      </c>
    </row>
    <row r="303" spans="1:12">
      <c r="A303" s="59"/>
      <c r="B303" s="280" t="s">
        <v>287</v>
      </c>
      <c r="C303" s="56" t="str">
        <f t="shared" si="15"/>
        <v>139.7x4.0</v>
      </c>
      <c r="D303" s="56" t="str">
        <f t="shared" si="13"/>
        <v>139.7x4</v>
      </c>
      <c r="E303" s="271" t="str">
        <f t="shared" si="11"/>
        <v>CHS 139.7x4</v>
      </c>
      <c r="F303" s="68">
        <v>13.386263465093046</v>
      </c>
      <c r="G303" s="67">
        <v>1.7052564923685409</v>
      </c>
      <c r="H303" s="67">
        <v>3.9285890912541821</v>
      </c>
      <c r="I303" s="68">
        <v>56.243222494691231</v>
      </c>
      <c r="J303" s="68">
        <v>73.679293333333291</v>
      </c>
      <c r="K303" s="68">
        <v>47.998033813896996</v>
      </c>
      <c r="L303" s="67">
        <v>7.8571781825083642</v>
      </c>
    </row>
    <row r="304" spans="1:12">
      <c r="A304" s="59"/>
      <c r="B304" s="280" t="s">
        <v>288</v>
      </c>
      <c r="C304" s="56" t="str">
        <f t="shared" si="15"/>
        <v>139.7x4.5</v>
      </c>
      <c r="D304" s="56" t="str">
        <f t="shared" si="13"/>
        <v>139.7x4.5</v>
      </c>
      <c r="E304" s="271" t="str">
        <f t="shared" si="11"/>
        <v>CHS 139.7x4.5</v>
      </c>
      <c r="F304" s="68">
        <v>15.004058017985642</v>
      </c>
      <c r="G304" s="67">
        <v>1.9113449704440308</v>
      </c>
      <c r="H304" s="67">
        <v>4.3720319880245926</v>
      </c>
      <c r="I304" s="68">
        <v>62.591724953823807</v>
      </c>
      <c r="J304" s="68">
        <v>82.286054999999934</v>
      </c>
      <c r="K304" s="68">
        <v>47.826888357910128</v>
      </c>
      <c r="L304" s="67">
        <v>8.7440639760491852</v>
      </c>
    </row>
    <row r="305" spans="1:12">
      <c r="A305" s="59"/>
      <c r="B305" s="280" t="s">
        <v>289</v>
      </c>
      <c r="C305" s="56" t="str">
        <f t="shared" si="15"/>
        <v>139.7x5.0</v>
      </c>
      <c r="D305" s="56" t="str">
        <f t="shared" si="13"/>
        <v>139.7x5</v>
      </c>
      <c r="E305" s="271" t="str">
        <f t="shared" si="11"/>
        <v>CHS 139.7x5</v>
      </c>
      <c r="F305" s="68">
        <v>16.60952181971291</v>
      </c>
      <c r="G305" s="67">
        <v>2.1158626521927273</v>
      </c>
      <c r="H305" s="67">
        <v>4.8054123694160431</v>
      </c>
      <c r="I305" s="68">
        <v>68.796168495576865</v>
      </c>
      <c r="J305" s="68">
        <v>90.762116666666614</v>
      </c>
      <c r="K305" s="68">
        <v>47.656439753720576</v>
      </c>
      <c r="L305" s="67">
        <v>9.6108247388320862</v>
      </c>
    </row>
    <row r="306" spans="1:12">
      <c r="A306" s="59"/>
      <c r="B306" s="280" t="s">
        <v>290</v>
      </c>
      <c r="C306" s="56" t="str">
        <f t="shared" si="15"/>
        <v>139.7x6.0</v>
      </c>
      <c r="D306" s="56" t="str">
        <f t="shared" si="13"/>
        <v>139.7x6</v>
      </c>
      <c r="E306" s="271" t="str">
        <f t="shared" si="11"/>
        <v>CHS 139.7x6</v>
      </c>
      <c r="F306" s="68">
        <v>19.783457169671404</v>
      </c>
      <c r="G306" s="67">
        <v>2.5201856267097331</v>
      </c>
      <c r="H306" s="67">
        <v>5.642597961010055</v>
      </c>
      <c r="I306" s="68">
        <v>80.781645826915607</v>
      </c>
      <c r="J306" s="72">
        <v>107.32613999999994</v>
      </c>
      <c r="K306" s="68">
        <v>47.317663192511937</v>
      </c>
      <c r="L306" s="68">
        <v>11.28519592202011</v>
      </c>
    </row>
    <row r="307" spans="1:12">
      <c r="A307" s="59"/>
      <c r="B307" s="271"/>
      <c r="C307" s="56" t="str">
        <f t="shared" si="15"/>
        <v/>
      </c>
      <c r="D307" s="56" t="str">
        <f t="shared" si="13"/>
        <v/>
      </c>
      <c r="E307" s="271" t="str">
        <f t="shared" si="11"/>
        <v/>
      </c>
      <c r="F307" s="68" t="s">
        <v>135</v>
      </c>
      <c r="G307" s="67" t="s">
        <v>135</v>
      </c>
      <c r="H307" s="67" t="s">
        <v>135</v>
      </c>
      <c r="I307" s="68" t="s">
        <v>135</v>
      </c>
      <c r="J307" s="65" t="s">
        <v>135</v>
      </c>
      <c r="K307" s="65" t="s">
        <v>135</v>
      </c>
      <c r="L307" s="65" t="s">
        <v>135</v>
      </c>
    </row>
    <row r="308" spans="1:12">
      <c r="A308" s="59"/>
      <c r="B308" s="280" t="s">
        <v>291</v>
      </c>
      <c r="C308" s="56" t="str">
        <f t="shared" si="15"/>
        <v>152.4x3.0</v>
      </c>
      <c r="D308" s="56" t="str">
        <f t="shared" si="13"/>
        <v>152.4x3</v>
      </c>
      <c r="E308" s="271" t="str">
        <f t="shared" ref="E308:E367" si="16">IF(ISBLANK(B308),"",_xlfn.CONCAT("CHS ",D308))</f>
        <v>CHS 152.4x3</v>
      </c>
      <c r="F308" s="68">
        <v>11.053285344610725</v>
      </c>
      <c r="G308" s="67">
        <v>1.4080618273389458</v>
      </c>
      <c r="H308" s="67">
        <v>3.930139930613648</v>
      </c>
      <c r="I308" s="68">
        <v>51.576639509365457</v>
      </c>
      <c r="J308" s="68">
        <v>66.970079999999996</v>
      </c>
      <c r="K308" s="68">
        <v>52.831524679872736</v>
      </c>
      <c r="L308" s="67">
        <v>7.8602798612272959</v>
      </c>
    </row>
    <row r="309" spans="1:12">
      <c r="A309" s="59"/>
      <c r="B309" s="280" t="s">
        <v>292</v>
      </c>
      <c r="C309" s="56" t="str">
        <f t="shared" si="15"/>
        <v>152.4x3.5</v>
      </c>
      <c r="D309" s="56" t="str">
        <f t="shared" ref="D309:D367" si="17">SUBSTITUTE(C309,".0","")</f>
        <v>152.4x3.5</v>
      </c>
      <c r="E309" s="271" t="str">
        <f t="shared" si="16"/>
        <v>CHS 152.4x3.5</v>
      </c>
      <c r="F309" s="68">
        <v>12.852341939633833</v>
      </c>
      <c r="G309" s="67">
        <v>1.6372410114183227</v>
      </c>
      <c r="H309" s="67">
        <v>4.5399588108947393</v>
      </c>
      <c r="I309" s="68">
        <v>59.579511953999202</v>
      </c>
      <c r="J309" s="68">
        <v>77.613526666666772</v>
      </c>
      <c r="K309" s="68">
        <v>52.658641266177774</v>
      </c>
      <c r="L309" s="67">
        <v>9.0799176217894786</v>
      </c>
    </row>
    <row r="310" spans="1:12">
      <c r="A310" s="59"/>
      <c r="B310" s="280" t="s">
        <v>293</v>
      </c>
      <c r="C310" s="56" t="str">
        <f t="shared" ref="C310:C367" si="18">TRIM(B310)</f>
        <v>152.4x4.0</v>
      </c>
      <c r="D310" s="56" t="str">
        <f t="shared" si="17"/>
        <v>152.4x4</v>
      </c>
      <c r="E310" s="271" t="str">
        <f t="shared" si="16"/>
        <v>CHS 152.4x4</v>
      </c>
      <c r="F310" s="68">
        <v>14.639067783491587</v>
      </c>
      <c r="G310" s="67">
        <v>1.864849399170903</v>
      </c>
      <c r="H310" s="67">
        <v>5.1373244218239895</v>
      </c>
      <c r="I310" s="68">
        <v>67.418955666981489</v>
      </c>
      <c r="J310" s="68">
        <v>88.111573333333396</v>
      </c>
      <c r="K310" s="68">
        <v>52.486379185461075</v>
      </c>
      <c r="L310" s="68">
        <v>10.274648843647979</v>
      </c>
    </row>
    <row r="311" spans="1:12">
      <c r="A311" s="6"/>
      <c r="B311" s="280" t="s">
        <v>294</v>
      </c>
      <c r="C311" s="56" t="str">
        <f t="shared" si="18"/>
        <v>152.4x4.5</v>
      </c>
      <c r="D311" s="56" t="str">
        <f t="shared" si="17"/>
        <v>152.4x4.5</v>
      </c>
      <c r="E311" s="271" t="str">
        <f t="shared" si="16"/>
        <v>CHS 152.4x4.5</v>
      </c>
      <c r="F311" s="68">
        <v>16.413462876183988</v>
      </c>
      <c r="G311" s="67">
        <v>2.0908869905966867</v>
      </c>
      <c r="H311" s="67">
        <v>5.7224074696922091</v>
      </c>
      <c r="I311" s="68">
        <v>75.097210888349196</v>
      </c>
      <c r="J311" s="68">
        <v>98.465220000000045</v>
      </c>
      <c r="K311" s="68">
        <v>52.314744575501862</v>
      </c>
      <c r="L311" s="68">
        <v>11.444814939384418</v>
      </c>
    </row>
    <row r="312" spans="1:12" ht="12.75" customHeight="1">
      <c r="A312" s="59"/>
      <c r="B312" s="280" t="s">
        <v>295</v>
      </c>
      <c r="C312" s="56" t="str">
        <f t="shared" si="18"/>
        <v>152.4x5.0</v>
      </c>
      <c r="D312" s="56" t="str">
        <f t="shared" si="17"/>
        <v>152.4x5</v>
      </c>
      <c r="E312" s="271" t="str">
        <f t="shared" si="16"/>
        <v>CHS 152.4x5</v>
      </c>
      <c r="F312" s="68">
        <v>18.175527217711085</v>
      </c>
      <c r="G312" s="67">
        <v>2.3153537856956796</v>
      </c>
      <c r="H312" s="67">
        <v>6.2953774826929854</v>
      </c>
      <c r="I312" s="68">
        <v>82.616502397545744</v>
      </c>
      <c r="J312" s="72">
        <v>108.67546666666671</v>
      </c>
      <c r="K312" s="68">
        <v>52.143743632386055</v>
      </c>
      <c r="L312" s="68">
        <v>12.590754965385971</v>
      </c>
    </row>
    <row r="313" spans="1:12">
      <c r="A313" s="59"/>
      <c r="B313" s="280" t="s">
        <v>296</v>
      </c>
      <c r="C313" s="56" t="str">
        <f t="shared" si="18"/>
        <v>152.4x6.0</v>
      </c>
      <c r="D313" s="56" t="str">
        <f t="shared" si="17"/>
        <v>152.4x6</v>
      </c>
      <c r="E313" s="271" t="str">
        <f t="shared" si="16"/>
        <v>CHS 152.4x6</v>
      </c>
      <c r="F313" s="68">
        <v>21.662663647269213</v>
      </c>
      <c r="G313" s="67">
        <v>2.7595749869132757</v>
      </c>
      <c r="H313" s="67">
        <v>7.4056506263802095</v>
      </c>
      <c r="I313" s="68">
        <v>97.187016094228468</v>
      </c>
      <c r="J313" s="72">
        <v>128.66976000000008</v>
      </c>
      <c r="K313" s="68">
        <v>51.80366782381342</v>
      </c>
      <c r="L313" s="68">
        <v>14.811301252760419</v>
      </c>
    </row>
    <row r="314" spans="1:12">
      <c r="A314" s="59"/>
      <c r="B314" s="271"/>
      <c r="C314" s="56" t="str">
        <f t="shared" si="18"/>
        <v/>
      </c>
      <c r="D314" s="56" t="str">
        <f t="shared" si="17"/>
        <v/>
      </c>
      <c r="E314" s="271" t="str">
        <f t="shared" si="16"/>
        <v/>
      </c>
      <c r="F314" s="68" t="s">
        <v>135</v>
      </c>
      <c r="G314" s="67" t="s">
        <v>135</v>
      </c>
      <c r="H314" s="67" t="s">
        <v>135</v>
      </c>
      <c r="I314" s="68" t="s">
        <v>135</v>
      </c>
      <c r="J314" s="72" t="s">
        <v>135</v>
      </c>
      <c r="K314" s="65" t="s">
        <v>135</v>
      </c>
      <c r="L314" s="68" t="s">
        <v>135</v>
      </c>
    </row>
    <row r="315" spans="1:12">
      <c r="A315" s="59"/>
      <c r="B315" s="280" t="s">
        <v>297</v>
      </c>
      <c r="C315" s="56" t="str">
        <f t="shared" si="18"/>
        <v>165.1x3.0</v>
      </c>
      <c r="D315" s="56" t="str">
        <f t="shared" si="17"/>
        <v>165.1x3</v>
      </c>
      <c r="E315" s="271" t="str">
        <f t="shared" si="16"/>
        <v>CHS 165.1x3</v>
      </c>
      <c r="F315" s="68">
        <v>11.992888583409629</v>
      </c>
      <c r="G315" s="67">
        <v>1.5277565074407171</v>
      </c>
      <c r="H315" s="67">
        <v>5.0197132722809146</v>
      </c>
      <c r="I315" s="68">
        <v>60.808155933142515</v>
      </c>
      <c r="J315" s="68">
        <v>78.838229999999982</v>
      </c>
      <c r="K315" s="68">
        <v>57.320818643840049</v>
      </c>
      <c r="L315" s="68">
        <v>10.039426544561829</v>
      </c>
    </row>
    <row r="316" spans="1:12">
      <c r="A316" s="59"/>
      <c r="B316" s="280" t="s">
        <v>298</v>
      </c>
      <c r="C316" s="56" t="str">
        <f t="shared" si="18"/>
        <v>165.1x3.5</v>
      </c>
      <c r="D316" s="56" t="str">
        <f t="shared" si="17"/>
        <v>165.1x3.5</v>
      </c>
      <c r="E316" s="271" t="str">
        <f t="shared" si="16"/>
        <v>CHS 165.1x3.5</v>
      </c>
      <c r="F316" s="68">
        <v>13.948545718232543</v>
      </c>
      <c r="G316" s="67">
        <v>1.7768848048703878</v>
      </c>
      <c r="H316" s="67">
        <v>5.8030414610919596</v>
      </c>
      <c r="I316" s="68">
        <v>70.297292078642755</v>
      </c>
      <c r="J316" s="68">
        <v>91.415251666666705</v>
      </c>
      <c r="K316" s="68">
        <v>57.147626809868484</v>
      </c>
      <c r="L316" s="68">
        <v>11.606082922183919</v>
      </c>
    </row>
    <row r="317" spans="1:12">
      <c r="A317" s="59"/>
      <c r="B317" s="280" t="s">
        <v>299</v>
      </c>
      <c r="C317" s="56" t="str">
        <f t="shared" si="18"/>
        <v>165.1x4.0</v>
      </c>
      <c r="D317" s="56" t="str">
        <f t="shared" si="17"/>
        <v>165.1x4</v>
      </c>
      <c r="E317" s="271" t="str">
        <f t="shared" si="16"/>
        <v>CHS 165.1x4</v>
      </c>
      <c r="F317" s="68">
        <v>15.891872101890129</v>
      </c>
      <c r="G317" s="67">
        <v>2.024442305973265</v>
      </c>
      <c r="H317" s="67">
        <v>6.5716459220879937</v>
      </c>
      <c r="I317" s="68">
        <v>79.608066893858194</v>
      </c>
      <c r="J317" s="72">
        <v>103.83417333333327</v>
      </c>
      <c r="K317" s="68">
        <v>56.975005484861505</v>
      </c>
      <c r="L317" s="68">
        <v>13.143291844175987</v>
      </c>
    </row>
    <row r="318" spans="1:12">
      <c r="A318" s="59"/>
      <c r="B318" s="280" t="s">
        <v>300</v>
      </c>
      <c r="C318" s="56" t="str">
        <f t="shared" si="18"/>
        <v>165.1x4.5</v>
      </c>
      <c r="D318" s="56" t="str">
        <f t="shared" si="17"/>
        <v>165.1x4.5</v>
      </c>
      <c r="E318" s="271" t="str">
        <f t="shared" si="16"/>
        <v>CHS 165.1x4.5</v>
      </c>
      <c r="F318" s="68">
        <v>17.82286773438236</v>
      </c>
      <c r="G318" s="67">
        <v>2.2704290107493454</v>
      </c>
      <c r="H318" s="67">
        <v>7.325712323394832</v>
      </c>
      <c r="I318" s="68">
        <v>88.742729538398947</v>
      </c>
      <c r="J318" s="72">
        <v>116.09599499999996</v>
      </c>
      <c r="K318" s="68">
        <v>56.802959870063106</v>
      </c>
      <c r="L318" s="68">
        <v>14.651424646789664</v>
      </c>
    </row>
    <row r="319" spans="1:12">
      <c r="A319" s="59"/>
      <c r="B319" s="280" t="s">
        <v>301</v>
      </c>
      <c r="C319" s="56" t="str">
        <f t="shared" si="18"/>
        <v>165.1x5.0</v>
      </c>
      <c r="D319" s="56" t="str">
        <f t="shared" si="17"/>
        <v>165.1x5</v>
      </c>
      <c r="E319" s="271" t="str">
        <f t="shared" si="16"/>
        <v>CHS 165.1x5</v>
      </c>
      <c r="F319" s="68">
        <v>19.741532615709261</v>
      </c>
      <c r="G319" s="67">
        <v>2.514844919198632</v>
      </c>
      <c r="H319" s="67">
        <v>8.0654251550410603</v>
      </c>
      <c r="I319" s="68">
        <v>97.703514900557963</v>
      </c>
      <c r="J319" s="72">
        <v>128.20171666666664</v>
      </c>
      <c r="K319" s="68">
        <v>56.631495212469886</v>
      </c>
      <c r="L319" s="68">
        <v>16.130850310082121</v>
      </c>
    </row>
    <row r="320" spans="1:12">
      <c r="A320" s="59"/>
      <c r="B320" s="280" t="s">
        <v>302</v>
      </c>
      <c r="C320" s="56" t="str">
        <f t="shared" si="18"/>
        <v>165.1x6.0</v>
      </c>
      <c r="D320" s="56" t="str">
        <f t="shared" si="17"/>
        <v>165.1x6</v>
      </c>
      <c r="E320" s="271" t="str">
        <f t="shared" si="16"/>
        <v>CHS 165.1x6</v>
      </c>
      <c r="F320" s="68">
        <v>23.541870124867028</v>
      </c>
      <c r="G320" s="67">
        <v>2.9989643471168188</v>
      </c>
      <c r="H320" s="67">
        <v>9.5025221789797865</v>
      </c>
      <c r="I320" s="72">
        <v>115.11232197431602</v>
      </c>
      <c r="J320" s="72">
        <v>151.94886000000002</v>
      </c>
      <c r="K320" s="68">
        <v>56.290329986597165</v>
      </c>
      <c r="L320" s="68">
        <v>19.005044357959573</v>
      </c>
    </row>
    <row r="321" spans="1:12">
      <c r="A321" s="59"/>
      <c r="B321" s="271"/>
      <c r="C321" s="56" t="str">
        <f t="shared" si="18"/>
        <v/>
      </c>
      <c r="D321" s="56" t="str">
        <f t="shared" si="17"/>
        <v/>
      </c>
      <c r="E321" s="271" t="str">
        <f t="shared" si="16"/>
        <v/>
      </c>
      <c r="F321" s="68" t="s">
        <v>135</v>
      </c>
      <c r="G321" s="67" t="s">
        <v>135</v>
      </c>
      <c r="H321" s="67" t="s">
        <v>135</v>
      </c>
      <c r="I321" s="65" t="s">
        <v>135</v>
      </c>
      <c r="J321" s="72" t="s">
        <v>135</v>
      </c>
      <c r="K321" s="65" t="s">
        <v>135</v>
      </c>
      <c r="L321" s="68" t="s">
        <v>135</v>
      </c>
    </row>
    <row r="322" spans="1:12">
      <c r="A322" s="59"/>
      <c r="B322" s="276" t="s">
        <v>468</v>
      </c>
      <c r="C322" s="56" t="str">
        <f t="shared" si="18"/>
        <v>177.8x3.5</v>
      </c>
      <c r="D322" s="56" t="str">
        <f t="shared" si="17"/>
        <v>177.8x3.5</v>
      </c>
      <c r="E322" s="271" t="str">
        <f t="shared" si="16"/>
        <v>CHS 177.8x3.5</v>
      </c>
      <c r="F322" s="68">
        <v>15.044749496831257</v>
      </c>
      <c r="G322" s="67">
        <v>1.9165285983224531</v>
      </c>
      <c r="H322" s="67">
        <v>7.2810694239223386</v>
      </c>
      <c r="I322" s="68">
        <v>81.901793294964435</v>
      </c>
      <c r="J322" s="72">
        <v>106.34600666666682</v>
      </c>
      <c r="K322" s="68">
        <v>61.63677879318481</v>
      </c>
      <c r="L322" s="68">
        <v>14.562138847844677</v>
      </c>
    </row>
    <row r="323" spans="1:12">
      <c r="A323" s="59"/>
      <c r="B323" s="276" t="s">
        <v>469</v>
      </c>
      <c r="C323" s="56" t="str">
        <f t="shared" si="18"/>
        <v>177.8x4.0</v>
      </c>
      <c r="D323" s="56" t="str">
        <f t="shared" si="17"/>
        <v>177.8x4</v>
      </c>
      <c r="E323" s="271" t="str">
        <f t="shared" si="16"/>
        <v>CHS 177.8x4</v>
      </c>
      <c r="F323" s="68">
        <v>17.144676420288647</v>
      </c>
      <c r="G323" s="67">
        <v>2.184035212775624</v>
      </c>
      <c r="H323" s="67">
        <v>8.2508591469998134</v>
      </c>
      <c r="I323" s="68">
        <v>92.810564083237495</v>
      </c>
      <c r="J323" s="72">
        <v>120.84709333333342</v>
      </c>
      <c r="K323" s="68">
        <v>61.463851164729327</v>
      </c>
      <c r="L323" s="68">
        <v>16.501718293999627</v>
      </c>
    </row>
    <row r="324" spans="1:12">
      <c r="A324" s="59"/>
      <c r="B324" s="276" t="s">
        <v>470</v>
      </c>
      <c r="C324" s="56" t="str">
        <f t="shared" si="18"/>
        <v>177.8x4.5</v>
      </c>
      <c r="D324" s="56" t="str">
        <f t="shared" si="17"/>
        <v>177.8x4.5</v>
      </c>
      <c r="E324" s="271" t="str">
        <f t="shared" si="16"/>
        <v>CHS 177.8x4.5</v>
      </c>
      <c r="F324" s="68">
        <v>19.232272592580706</v>
      </c>
      <c r="G324" s="67">
        <v>2.4499710309020011</v>
      </c>
      <c r="H324" s="67">
        <v>9.2036652984552667</v>
      </c>
      <c r="I324" s="72">
        <v>103.52829357092538</v>
      </c>
      <c r="J324" s="72">
        <v>135.1783800000002</v>
      </c>
      <c r="K324" s="68">
        <v>61.291455358801841</v>
      </c>
      <c r="L324" s="68">
        <v>18.407330596910533</v>
      </c>
    </row>
    <row r="325" spans="1:12">
      <c r="A325" s="59"/>
      <c r="B325" s="276" t="s">
        <v>303</v>
      </c>
      <c r="C325" s="56" t="str">
        <f t="shared" si="18"/>
        <v>177.8x5.0</v>
      </c>
      <c r="D325" s="56" t="str">
        <f t="shared" si="17"/>
        <v>177.8x5</v>
      </c>
      <c r="E325" s="271" t="str">
        <f t="shared" si="16"/>
        <v>CHS 177.8x5</v>
      </c>
      <c r="F325" s="68">
        <v>21.307538013707415</v>
      </c>
      <c r="G325" s="67">
        <v>2.7143360527015816</v>
      </c>
      <c r="H325" s="68">
        <v>10.13968733015229</v>
      </c>
      <c r="I325" s="72">
        <v>114.05722531104938</v>
      </c>
      <c r="J325" s="72">
        <v>149.3408666666667</v>
      </c>
      <c r="K325" s="68">
        <v>61.119595875627319</v>
      </c>
      <c r="L325" s="68">
        <v>20.27937466030458</v>
      </c>
    </row>
    <row r="326" spans="1:12">
      <c r="A326" s="59"/>
      <c r="B326" s="276" t="s">
        <v>304</v>
      </c>
      <c r="C326" s="56" t="str">
        <f t="shared" si="18"/>
        <v>177.8x6.0</v>
      </c>
      <c r="D326" s="56" t="str">
        <f t="shared" si="17"/>
        <v>177.8x6</v>
      </c>
      <c r="E326" s="271" t="str">
        <f t="shared" si="16"/>
        <v>CHS 177.8x6</v>
      </c>
      <c r="F326" s="68">
        <v>25.421076602464819</v>
      </c>
      <c r="G326" s="67">
        <v>3.2383537073203592</v>
      </c>
      <c r="H326" s="68">
        <v>11.962170951239207</v>
      </c>
      <c r="I326" s="72">
        <v>134.55760350100343</v>
      </c>
      <c r="J326" s="72">
        <v>177.16344000000009</v>
      </c>
      <c r="K326" s="68">
        <v>60.77750406194712</v>
      </c>
      <c r="L326" s="68">
        <v>23.924341902478414</v>
      </c>
    </row>
    <row r="327" spans="1:12">
      <c r="A327" s="59"/>
      <c r="B327" s="271"/>
      <c r="C327" s="56" t="str">
        <f t="shared" si="18"/>
        <v/>
      </c>
      <c r="D327" s="56" t="str">
        <f t="shared" si="17"/>
        <v/>
      </c>
      <c r="E327" s="271" t="str">
        <f t="shared" si="16"/>
        <v/>
      </c>
      <c r="F327" s="68" t="s">
        <v>135</v>
      </c>
      <c r="G327" s="67" t="s">
        <v>135</v>
      </c>
      <c r="H327" s="65" t="s">
        <v>135</v>
      </c>
      <c r="I327" s="65" t="s">
        <v>135</v>
      </c>
      <c r="J327" s="72" t="s">
        <v>135</v>
      </c>
      <c r="K327" s="65" t="s">
        <v>135</v>
      </c>
      <c r="L327" s="68" t="s">
        <v>135</v>
      </c>
    </row>
    <row r="328" spans="1:12">
      <c r="A328" s="59"/>
      <c r="B328" s="280" t="s">
        <v>305</v>
      </c>
      <c r="C328" s="56" t="str">
        <f t="shared" si="18"/>
        <v>193.7x3.5</v>
      </c>
      <c r="D328" s="56" t="str">
        <f t="shared" si="17"/>
        <v>193.7x3.5</v>
      </c>
      <c r="E328" s="271" t="str">
        <f t="shared" si="16"/>
        <v>CHS 193.7x3.5</v>
      </c>
      <c r="F328" s="68">
        <v>16.417162101533592</v>
      </c>
      <c r="G328" s="67">
        <v>2.0913582294947251</v>
      </c>
      <c r="H328" s="67">
        <v>9.4603347628552079</v>
      </c>
      <c r="I328" s="68">
        <v>97.680276333042926</v>
      </c>
      <c r="J328" s="72">
        <v>126.63043166666679</v>
      </c>
      <c r="K328" s="68">
        <v>67.257239387295698</v>
      </c>
      <c r="L328" s="68">
        <v>18.920669525710416</v>
      </c>
    </row>
    <row r="329" spans="1:12">
      <c r="A329" s="59"/>
      <c r="B329" s="280" t="s">
        <v>308</v>
      </c>
      <c r="C329" s="56" t="str">
        <f t="shared" si="18"/>
        <v>193.7x4.0</v>
      </c>
      <c r="D329" s="56" t="str">
        <f t="shared" si="17"/>
        <v>193.7x4</v>
      </c>
      <c r="E329" s="271" t="str">
        <f t="shared" si="16"/>
        <v>CHS 193.7x4</v>
      </c>
      <c r="F329" s="68">
        <v>18.713147968519902</v>
      </c>
      <c r="G329" s="67">
        <v>2.3838405055439367</v>
      </c>
      <c r="H329" s="68">
        <v>10.727905053279787</v>
      </c>
      <c r="I329" s="72">
        <v>110.76825042106132</v>
      </c>
      <c r="J329" s="72">
        <v>143.96569333333321</v>
      </c>
      <c r="K329" s="68">
        <v>67.083986539262852</v>
      </c>
      <c r="L329" s="68">
        <v>21.455810106559575</v>
      </c>
    </row>
    <row r="330" spans="1:12">
      <c r="A330" s="59"/>
      <c r="B330" s="280" t="s">
        <v>306</v>
      </c>
      <c r="C330" s="56" t="str">
        <f t="shared" si="18"/>
        <v>193.7x4.5</v>
      </c>
      <c r="D330" s="56" t="str">
        <f t="shared" si="17"/>
        <v>193.7x4.5</v>
      </c>
      <c r="E330" s="271" t="str">
        <f t="shared" si="16"/>
        <v>CHS 193.7x4.5</v>
      </c>
      <c r="F330" s="68">
        <v>20.996803084340858</v>
      </c>
      <c r="G330" s="67">
        <v>2.6747519852663513</v>
      </c>
      <c r="H330" s="68">
        <v>11.975162204195819</v>
      </c>
      <c r="I330" s="72">
        <v>123.64648636237294</v>
      </c>
      <c r="J330" s="72">
        <v>161.11525500000005</v>
      </c>
      <c r="K330" s="68">
        <v>66.91121916390405</v>
      </c>
      <c r="L330" s="68">
        <v>23.950324408391637</v>
      </c>
    </row>
    <row r="331" spans="1:12">
      <c r="A331" s="59"/>
      <c r="B331" s="280" t="s">
        <v>307</v>
      </c>
      <c r="C331" s="56" t="str">
        <f t="shared" si="18"/>
        <v>193.7x6.0</v>
      </c>
      <c r="D331" s="56" t="str">
        <f t="shared" si="17"/>
        <v>193.7x6</v>
      </c>
      <c r="E331" s="271" t="str">
        <f t="shared" si="16"/>
        <v>CHS 193.7x6</v>
      </c>
      <c r="F331" s="68">
        <v>27.773783924811653</v>
      </c>
      <c r="G331" s="67">
        <v>3.5380616464728223</v>
      </c>
      <c r="H331" s="68">
        <v>15.59723076550431</v>
      </c>
      <c r="I331" s="72">
        <v>161.04523247810337</v>
      </c>
      <c r="J331" s="72">
        <v>211.45973999999993</v>
      </c>
      <c r="K331" s="68">
        <v>66.395867717803029</v>
      </c>
      <c r="L331" s="68">
        <v>31.194461531008621</v>
      </c>
    </row>
    <row r="332" spans="1:12" ht="12.75" customHeight="1">
      <c r="A332" s="59"/>
      <c r="B332" s="271"/>
      <c r="C332" s="56" t="str">
        <f t="shared" si="18"/>
        <v/>
      </c>
      <c r="D332" s="56" t="str">
        <f t="shared" si="17"/>
        <v/>
      </c>
      <c r="E332" s="271" t="str">
        <f t="shared" si="16"/>
        <v/>
      </c>
      <c r="F332" s="68" t="s">
        <v>135</v>
      </c>
      <c r="G332" s="67" t="s">
        <v>135</v>
      </c>
      <c r="H332" s="68" t="s">
        <v>135</v>
      </c>
      <c r="I332" s="72" t="s">
        <v>135</v>
      </c>
      <c r="J332" s="72" t="s">
        <v>135</v>
      </c>
      <c r="K332" s="65" t="s">
        <v>135</v>
      </c>
      <c r="L332" s="68" t="s">
        <v>135</v>
      </c>
    </row>
    <row r="333" spans="1:12">
      <c r="A333" s="59"/>
      <c r="B333" s="280" t="s">
        <v>309</v>
      </c>
      <c r="C333" s="56" t="str">
        <f t="shared" si="18"/>
        <v>219.1x3.5</v>
      </c>
      <c r="D333" s="56" t="str">
        <f t="shared" si="17"/>
        <v>219.1x3.5</v>
      </c>
      <c r="E333" s="271" t="str">
        <f t="shared" si="16"/>
        <v>CHS 219.1x3.5</v>
      </c>
      <c r="F333" s="68">
        <v>18.600938132915289</v>
      </c>
      <c r="G333" s="67">
        <v>2.3695462589701006</v>
      </c>
      <c r="H333" s="68">
        <v>13.758918449351066</v>
      </c>
      <c r="I333" s="72">
        <v>125.6522232817449</v>
      </c>
      <c r="J333" s="72">
        <v>162.55516666666668</v>
      </c>
      <c r="K333" s="68">
        <v>76.200803801534775</v>
      </c>
      <c r="L333" s="68">
        <v>27.517836898702132</v>
      </c>
    </row>
    <row r="334" spans="1:12">
      <c r="A334" s="59"/>
      <c r="B334" s="280" t="s">
        <v>381</v>
      </c>
      <c r="C334" s="56" t="str">
        <f t="shared" si="18"/>
        <v>219.1x4.0</v>
      </c>
      <c r="D334" s="56" t="str">
        <f t="shared" si="17"/>
        <v>219.1x4</v>
      </c>
      <c r="E334" s="271" t="str">
        <f t="shared" si="16"/>
        <v>CHS 219.1x4</v>
      </c>
      <c r="F334" s="68">
        <v>21.208892004384683</v>
      </c>
      <c r="G334" s="67">
        <v>2.701769682087221</v>
      </c>
      <c r="H334" s="68">
        <v>15.616566483674386</v>
      </c>
      <c r="I334" s="72">
        <v>142.61704551300809</v>
      </c>
      <c r="J334" s="72">
        <v>184.92133333333334</v>
      </c>
      <c r="K334" s="68">
        <v>76.027133314363468</v>
      </c>
      <c r="L334" s="68">
        <v>31.233132967348773</v>
      </c>
    </row>
    <row r="335" spans="1:12">
      <c r="A335" s="59"/>
      <c r="B335" s="280" t="s">
        <v>310</v>
      </c>
      <c r="C335" s="56" t="str">
        <f t="shared" si="18"/>
        <v>219.1x4.5</v>
      </c>
      <c r="D335" s="56" t="str">
        <f t="shared" si="17"/>
        <v>219.1x4.5</v>
      </c>
      <c r="E335" s="271" t="str">
        <f t="shared" si="16"/>
        <v>CHS 219.1x4.5</v>
      </c>
      <c r="F335" s="68">
        <v>23.80451512468877</v>
      </c>
      <c r="G335" s="67">
        <v>3.0324223088775506</v>
      </c>
      <c r="H335" s="68">
        <v>17.447989386098502</v>
      </c>
      <c r="I335" s="72">
        <v>159.34236882281738</v>
      </c>
      <c r="J335" s="72">
        <v>207.07650000000001</v>
      </c>
      <c r="K335" s="68">
        <v>75.853889155401902</v>
      </c>
      <c r="L335" s="68">
        <v>34.895978772197005</v>
      </c>
    </row>
    <row r="336" spans="1:12">
      <c r="A336" s="59"/>
      <c r="B336" s="280" t="s">
        <v>311</v>
      </c>
      <c r="C336" s="56" t="str">
        <f t="shared" si="18"/>
        <v>219.1x6.0</v>
      </c>
      <c r="D336" s="56" t="str">
        <f t="shared" si="17"/>
        <v>219.1x6</v>
      </c>
      <c r="E336" s="271" t="str">
        <f t="shared" si="16"/>
        <v>CHS 219.1x6</v>
      </c>
      <c r="F336" s="68">
        <v>31.517399978608871</v>
      </c>
      <c r="G336" s="67">
        <v>4.0149554112877546</v>
      </c>
      <c r="H336" s="68">
        <v>22.787381306190053</v>
      </c>
      <c r="I336" s="72">
        <v>208.10393886931553</v>
      </c>
      <c r="J336" s="72">
        <v>272.286</v>
      </c>
      <c r="K336" s="68">
        <v>75.336744023086084</v>
      </c>
      <c r="L336" s="68">
        <v>45.574762612380106</v>
      </c>
    </row>
    <row r="337" spans="1:12">
      <c r="A337" s="59"/>
      <c r="B337" s="280" t="s">
        <v>312</v>
      </c>
      <c r="C337" s="56" t="str">
        <f t="shared" si="18"/>
        <v>219.1x8.0</v>
      </c>
      <c r="D337" s="56" t="str">
        <f t="shared" si="17"/>
        <v>219.1x8</v>
      </c>
      <c r="E337" s="271" t="str">
        <f t="shared" si="16"/>
        <v>CHS 219.1x8</v>
      </c>
      <c r="F337" s="68">
        <v>41.628615934187593</v>
      </c>
      <c r="G337" s="67">
        <v>5.303008399259566</v>
      </c>
      <c r="H337" s="68">
        <v>29.554328685123462</v>
      </c>
      <c r="I337" s="72">
        <v>269.90254506962066</v>
      </c>
      <c r="J337" s="72">
        <v>356.33866666666665</v>
      </c>
      <c r="K337" s="68">
        <v>74.653365630760405</v>
      </c>
      <c r="L337" s="68">
        <v>59.108657370246924</v>
      </c>
    </row>
    <row r="338" spans="1:12">
      <c r="A338" s="59"/>
      <c r="B338" s="280" t="s">
        <v>313</v>
      </c>
      <c r="C338" s="56" t="str">
        <f t="shared" si="18"/>
        <v>219.1x10.0</v>
      </c>
      <c r="D338" s="56" t="str">
        <f t="shared" si="17"/>
        <v>219.1x10</v>
      </c>
      <c r="E338" s="271" t="str">
        <f t="shared" si="16"/>
        <v>CHS 219.1x10</v>
      </c>
      <c r="F338" s="68">
        <v>51.542539871120894</v>
      </c>
      <c r="G338" s="67">
        <v>6.5659286460026616</v>
      </c>
      <c r="H338" s="68">
        <v>35.932865256330309</v>
      </c>
      <c r="I338" s="72">
        <v>328.15402060575627</v>
      </c>
      <c r="J338" s="72">
        <v>437.14333333333332</v>
      </c>
      <c r="K338" s="68">
        <v>73.977192431181109</v>
      </c>
      <c r="L338" s="68">
        <v>71.865730512660619</v>
      </c>
    </row>
    <row r="339" spans="1:12">
      <c r="A339" s="59"/>
      <c r="B339" s="271"/>
      <c r="C339" s="56" t="str">
        <f t="shared" si="18"/>
        <v/>
      </c>
      <c r="D339" s="56" t="str">
        <f t="shared" si="17"/>
        <v/>
      </c>
      <c r="E339" s="271" t="str">
        <f t="shared" si="16"/>
        <v/>
      </c>
      <c r="F339" s="68" t="s">
        <v>135</v>
      </c>
      <c r="G339" s="67" t="s">
        <v>135</v>
      </c>
      <c r="H339" s="68" t="s">
        <v>135</v>
      </c>
      <c r="I339" s="72" t="s">
        <v>135</v>
      </c>
      <c r="J339" s="72" t="s">
        <v>135</v>
      </c>
      <c r="K339" s="65" t="s">
        <v>135</v>
      </c>
      <c r="L339" s="68" t="s">
        <v>135</v>
      </c>
    </row>
    <row r="340" spans="1:12">
      <c r="A340" s="59"/>
      <c r="B340" s="280" t="s">
        <v>314</v>
      </c>
      <c r="C340" s="56" t="str">
        <f t="shared" si="18"/>
        <v>273.1x6.0</v>
      </c>
      <c r="D340" s="56" t="str">
        <f t="shared" si="17"/>
        <v>273.1x6</v>
      </c>
      <c r="E340" s="271" t="str">
        <f t="shared" si="16"/>
        <v>CHS 273.1x6</v>
      </c>
      <c r="F340" s="68">
        <v>39.522523635147628</v>
      </c>
      <c r="G340" s="67">
        <v>5.0347163866430105</v>
      </c>
      <c r="H340" s="68">
        <v>44.921256309940418</v>
      </c>
      <c r="I340" s="72">
        <v>328.97294990802209</v>
      </c>
      <c r="J340" s="72">
        <v>428.12646000000029</v>
      </c>
      <c r="K340" s="68">
        <v>94.45793375889609</v>
      </c>
      <c r="L340" s="68">
        <v>89.842512619880836</v>
      </c>
    </row>
    <row r="341" spans="1:12">
      <c r="A341" s="59"/>
      <c r="B341" s="280" t="s">
        <v>315</v>
      </c>
      <c r="C341" s="56" t="str">
        <f t="shared" si="18"/>
        <v>273.1x8.0</v>
      </c>
      <c r="D341" s="56" t="str">
        <f t="shared" si="17"/>
        <v>273.1x8</v>
      </c>
      <c r="E341" s="271" t="str">
        <f t="shared" si="16"/>
        <v>CHS 273.1x8</v>
      </c>
      <c r="F341" s="68">
        <v>52.302114142905943</v>
      </c>
      <c r="G341" s="67">
        <v>6.6626896997332414</v>
      </c>
      <c r="H341" s="68">
        <v>58.583373185691592</v>
      </c>
      <c r="I341" s="72">
        <v>429.02506910063408</v>
      </c>
      <c r="J341" s="72">
        <v>562.39474666666672</v>
      </c>
      <c r="K341" s="68">
        <v>93.76967126955283</v>
      </c>
      <c r="L341" s="72">
        <v>117.16674637138318</v>
      </c>
    </row>
    <row r="342" spans="1:12">
      <c r="A342" s="59"/>
      <c r="B342" s="280" t="s">
        <v>316</v>
      </c>
      <c r="C342" s="56" t="str">
        <f t="shared" si="18"/>
        <v>273.1x10.0</v>
      </c>
      <c r="D342" s="56" t="str">
        <f t="shared" si="17"/>
        <v>273.1x10</v>
      </c>
      <c r="E342" s="271" t="str">
        <f t="shared" si="16"/>
        <v>CHS 273.1x10</v>
      </c>
      <c r="F342" s="68">
        <v>64.884412632018609</v>
      </c>
      <c r="G342" s="67">
        <v>8.2655302715947272</v>
      </c>
      <c r="H342" s="68">
        <v>71.622483241335487</v>
      </c>
      <c r="I342" s="72">
        <v>524.51470700355537</v>
      </c>
      <c r="J342" s="72">
        <v>692.54943333333358</v>
      </c>
      <c r="K342" s="68">
        <v>93.087062742359649</v>
      </c>
      <c r="L342" s="72">
        <v>143.24496648267097</v>
      </c>
    </row>
    <row r="343" spans="1:12">
      <c r="A343" s="59"/>
      <c r="B343" s="280" t="s">
        <v>317</v>
      </c>
      <c r="C343" s="56" t="str">
        <f t="shared" si="18"/>
        <v>273.1x12.0</v>
      </c>
      <c r="D343" s="56" t="str">
        <f t="shared" si="17"/>
        <v>273.1x12</v>
      </c>
      <c r="E343" s="271" t="str">
        <f t="shared" si="16"/>
        <v>CHS 273.1x12</v>
      </c>
      <c r="F343" s="68">
        <v>77.269419102486211</v>
      </c>
      <c r="G343" s="67">
        <v>9.8432381022275433</v>
      </c>
      <c r="H343" s="68">
        <v>84.057820563735035</v>
      </c>
      <c r="I343" s="72">
        <v>615.58272108191159</v>
      </c>
      <c r="J343" s="72">
        <v>818.65452000000016</v>
      </c>
      <c r="K343" s="68">
        <v>92.410233470108693</v>
      </c>
      <c r="L343" s="72">
        <v>168.11564112747007</v>
      </c>
    </row>
    <row r="344" spans="1:12">
      <c r="A344" s="59"/>
      <c r="B344" s="271"/>
      <c r="C344" s="56" t="str">
        <f t="shared" si="18"/>
        <v/>
      </c>
      <c r="D344" s="56" t="str">
        <f t="shared" si="17"/>
        <v/>
      </c>
      <c r="E344" s="271" t="str">
        <f t="shared" si="16"/>
        <v/>
      </c>
      <c r="F344" s="68" t="s">
        <v>135</v>
      </c>
      <c r="G344" s="67" t="s">
        <v>135</v>
      </c>
      <c r="H344" s="68" t="s">
        <v>135</v>
      </c>
      <c r="I344" s="72" t="s">
        <v>135</v>
      </c>
      <c r="J344" s="72" t="s">
        <v>135</v>
      </c>
      <c r="K344" s="65" t="s">
        <v>135</v>
      </c>
      <c r="L344" s="72" t="s">
        <v>135</v>
      </c>
    </row>
    <row r="345" spans="1:12">
      <c r="A345" s="59"/>
      <c r="B345" s="280" t="s">
        <v>318</v>
      </c>
      <c r="C345" s="56" t="str">
        <f t="shared" si="18"/>
        <v>323.9x6.0</v>
      </c>
      <c r="D345" s="56" t="str">
        <f t="shared" si="17"/>
        <v>323.9x6</v>
      </c>
      <c r="E345" s="271" t="str">
        <f t="shared" si="16"/>
        <v>CHS 323.9x6</v>
      </c>
      <c r="F345" s="68">
        <v>47.039349545538791</v>
      </c>
      <c r="G345" s="67">
        <v>5.9922738274571712</v>
      </c>
      <c r="H345" s="68">
        <v>75.724671461609958</v>
      </c>
      <c r="I345" s="72">
        <v>467.58055857740021</v>
      </c>
      <c r="J345" s="72">
        <v>606.4344599999996</v>
      </c>
      <c r="K345" s="72">
        <v>112.41463983841253</v>
      </c>
      <c r="L345" s="72">
        <v>151.44934292321992</v>
      </c>
    </row>
    <row r="346" spans="1:12">
      <c r="A346" s="59"/>
      <c r="B346" s="280" t="s">
        <v>319</v>
      </c>
      <c r="C346" s="56" t="str">
        <f t="shared" si="18"/>
        <v>323.9x8.0</v>
      </c>
      <c r="D346" s="56" t="str">
        <f t="shared" si="17"/>
        <v>323.9x8</v>
      </c>
      <c r="E346" s="271" t="str">
        <f t="shared" si="16"/>
        <v>CHS 323.9x8</v>
      </c>
      <c r="F346" s="68">
        <v>62.324548690094197</v>
      </c>
      <c r="G346" s="67">
        <v>7.9394329541521271</v>
      </c>
      <c r="H346" s="68">
        <v>99.100806001313401</v>
      </c>
      <c r="I346" s="72">
        <v>611.92223526590556</v>
      </c>
      <c r="J346" s="72">
        <v>798.51314666666644</v>
      </c>
      <c r="K346" s="72">
        <v>111.72332455669225</v>
      </c>
      <c r="L346" s="72">
        <v>198.2016120026268</v>
      </c>
    </row>
    <row r="347" spans="1:12">
      <c r="A347" s="59"/>
      <c r="B347" s="280" t="s">
        <v>320</v>
      </c>
      <c r="C347" s="56" t="str">
        <f t="shared" si="18"/>
        <v>323.9x10.0</v>
      </c>
      <c r="D347" s="56" t="str">
        <f t="shared" si="17"/>
        <v>323.9x10</v>
      </c>
      <c r="E347" s="271" t="str">
        <f t="shared" si="16"/>
        <v>CHS 323.9x10</v>
      </c>
      <c r="F347" s="68">
        <v>77.412455816003941</v>
      </c>
      <c r="G347" s="67">
        <v>9.861459339618337</v>
      </c>
      <c r="H347" s="72">
        <v>121.58342374387961</v>
      </c>
      <c r="I347" s="72">
        <v>750.74667331818227</v>
      </c>
      <c r="J347" s="72">
        <v>985.665433333333</v>
      </c>
      <c r="K347" s="72">
        <v>111.036711271543</v>
      </c>
      <c r="L347" s="72">
        <v>243.16684748775921</v>
      </c>
    </row>
    <row r="348" spans="1:12">
      <c r="A348" s="6"/>
      <c r="B348" s="280" t="s">
        <v>334</v>
      </c>
      <c r="C348" s="56" t="str">
        <f t="shared" si="18"/>
        <v>323.9x12.0</v>
      </c>
      <c r="D348" s="56" t="str">
        <f t="shared" si="17"/>
        <v>323.9x12</v>
      </c>
      <c r="E348" s="271" t="str">
        <f t="shared" si="16"/>
        <v>CHS 323.9x12</v>
      </c>
      <c r="F348" s="68">
        <v>92.303070923268493</v>
      </c>
      <c r="G348" s="68">
        <v>11.758352983855859</v>
      </c>
      <c r="H348" s="72">
        <v>143.19558900593461</v>
      </c>
      <c r="I348" s="72">
        <v>884.19628901472436</v>
      </c>
      <c r="J348" s="72">
        <v>1167.9553200000003</v>
      </c>
      <c r="K348" s="72">
        <v>110.35488774857231</v>
      </c>
      <c r="L348" s="72">
        <v>286.39117801186921</v>
      </c>
    </row>
    <row r="349" spans="1:12" ht="12.75" customHeight="1">
      <c r="A349" s="58"/>
      <c r="B349" s="271"/>
      <c r="C349" s="56" t="str">
        <f t="shared" si="18"/>
        <v/>
      </c>
      <c r="D349" s="56" t="str">
        <f t="shared" si="17"/>
        <v/>
      </c>
      <c r="E349" s="271" t="str">
        <f t="shared" si="16"/>
        <v/>
      </c>
      <c r="F349" s="68" t="s">
        <v>135</v>
      </c>
      <c r="G349" s="65" t="s">
        <v>135</v>
      </c>
      <c r="H349" s="72" t="s">
        <v>135</v>
      </c>
      <c r="I349" s="72" t="s">
        <v>135</v>
      </c>
      <c r="J349" s="72" t="s">
        <v>135</v>
      </c>
      <c r="K349" s="72" t="s">
        <v>135</v>
      </c>
      <c r="L349" s="72" t="s">
        <v>135</v>
      </c>
    </row>
    <row r="350" spans="1:12">
      <c r="A350" s="58"/>
      <c r="B350" s="280" t="s">
        <v>321</v>
      </c>
      <c r="C350" s="56" t="str">
        <f t="shared" si="18"/>
        <v>355.6x6.0</v>
      </c>
      <c r="D350" s="56" t="str">
        <f t="shared" si="17"/>
        <v>355.6x6</v>
      </c>
      <c r="E350" s="271" t="str">
        <f t="shared" si="16"/>
        <v>CHS 355.6x6</v>
      </c>
      <c r="F350" s="68">
        <v>51.729967288834146</v>
      </c>
      <c r="G350" s="67">
        <v>6.5898047501699555</v>
      </c>
      <c r="H350" s="72">
        <v>100.70552798819219</v>
      </c>
      <c r="I350" s="72">
        <v>566.39779520917989</v>
      </c>
      <c r="J350" s="72">
        <v>733.39296000000093</v>
      </c>
      <c r="K350" s="72">
        <v>123.62046756099893</v>
      </c>
      <c r="L350" s="72">
        <v>201.41105597638438</v>
      </c>
    </row>
    <row r="351" spans="1:12">
      <c r="A351" s="58"/>
      <c r="B351" s="280" t="s">
        <v>322</v>
      </c>
      <c r="C351" s="56" t="str">
        <f t="shared" si="18"/>
        <v>355.6x8.0</v>
      </c>
      <c r="D351" s="56" t="str">
        <f t="shared" si="17"/>
        <v>355.6x8</v>
      </c>
      <c r="E351" s="271" t="str">
        <f t="shared" si="16"/>
        <v>CHS 355.6x8</v>
      </c>
      <c r="F351" s="68">
        <v>68.578705681154588</v>
      </c>
      <c r="G351" s="67">
        <v>8.7361408511024958</v>
      </c>
      <c r="H351" s="72">
        <v>132.01374635199701</v>
      </c>
      <c r="I351" s="72">
        <v>742.48451266589996</v>
      </c>
      <c r="J351" s="72">
        <v>966.77674666666735</v>
      </c>
      <c r="K351" s="72">
        <v>122.92770232945865</v>
      </c>
      <c r="L351" s="72">
        <v>264.02749270399403</v>
      </c>
    </row>
    <row r="352" spans="1:12">
      <c r="A352" s="58"/>
      <c r="B352" s="280" t="s">
        <v>323</v>
      </c>
      <c r="C352" s="56" t="str">
        <f t="shared" si="18"/>
        <v>355.6x10.0</v>
      </c>
      <c r="D352" s="56" t="str">
        <f t="shared" si="17"/>
        <v>355.6x10</v>
      </c>
      <c r="E352" s="271" t="str">
        <f t="shared" si="16"/>
        <v>CHS 355.6x10</v>
      </c>
      <c r="F352" s="68">
        <v>85.230152054829659</v>
      </c>
      <c r="G352" s="68">
        <v>10.857344210806327</v>
      </c>
      <c r="H352" s="72">
        <v>162.23499728243664</v>
      </c>
      <c r="I352" s="72">
        <v>912.45780248839503</v>
      </c>
      <c r="J352" s="72">
        <v>1194.7269333333336</v>
      </c>
      <c r="K352" s="72">
        <v>122.23919175125464</v>
      </c>
      <c r="L352" s="72">
        <v>324.46999456487328</v>
      </c>
    </row>
    <row r="353" spans="1:12">
      <c r="A353" s="58"/>
      <c r="B353" s="280" t="s">
        <v>324</v>
      </c>
      <c r="C353" s="56" t="str">
        <f t="shared" si="18"/>
        <v>355.6x12.0</v>
      </c>
      <c r="D353" s="56" t="str">
        <f t="shared" si="17"/>
        <v>355.6x12</v>
      </c>
      <c r="E353" s="271" t="str">
        <f t="shared" si="16"/>
        <v>CHS 355.6x12</v>
      </c>
      <c r="F353" s="72">
        <v>101.68430640985927</v>
      </c>
      <c r="G353" s="68">
        <v>12.953414829281437</v>
      </c>
      <c r="H353" s="72">
        <v>191.39473521982731</v>
      </c>
      <c r="I353" s="72">
        <v>1076.4608280080274</v>
      </c>
      <c r="J353" s="72">
        <v>1417.3075200000007</v>
      </c>
      <c r="K353" s="72">
        <v>121.55500812389424</v>
      </c>
      <c r="L353" s="72">
        <v>382.78947043965462</v>
      </c>
    </row>
    <row r="354" spans="1:12">
      <c r="A354" s="58"/>
      <c r="B354" s="271"/>
      <c r="C354" s="56" t="str">
        <f t="shared" si="18"/>
        <v/>
      </c>
      <c r="D354" s="56" t="str">
        <f t="shared" si="17"/>
        <v/>
      </c>
      <c r="E354" s="271" t="str">
        <f t="shared" si="16"/>
        <v/>
      </c>
      <c r="F354" s="68" t="s">
        <v>135</v>
      </c>
      <c r="G354" s="65" t="s">
        <v>135</v>
      </c>
      <c r="H354" s="72" t="s">
        <v>135</v>
      </c>
      <c r="I354" s="72" t="s">
        <v>135</v>
      </c>
      <c r="J354" s="72" t="s">
        <v>135</v>
      </c>
      <c r="K354" s="72" t="s">
        <v>135</v>
      </c>
      <c r="L354" s="72" t="s">
        <v>135</v>
      </c>
    </row>
    <row r="355" spans="1:12">
      <c r="A355" s="58"/>
      <c r="B355" s="276" t="s">
        <v>472</v>
      </c>
      <c r="C355" s="56" t="str">
        <f t="shared" si="18"/>
        <v>406.4x6.0</v>
      </c>
      <c r="D355" s="56" t="str">
        <f t="shared" si="17"/>
        <v>406.4x6</v>
      </c>
      <c r="E355" s="271" t="str">
        <f t="shared" si="16"/>
        <v>CHS 406.4x6</v>
      </c>
      <c r="F355" s="68">
        <v>59.246793199225479</v>
      </c>
      <c r="G355" s="67">
        <v>7.5473621909841375</v>
      </c>
      <c r="H355" s="72">
        <v>151.28325238442534</v>
      </c>
      <c r="I355" s="72">
        <v>744.50419480524283</v>
      </c>
      <c r="J355" s="72">
        <v>961.99296000000095</v>
      </c>
      <c r="K355" s="72">
        <v>141.57867070996252</v>
      </c>
      <c r="L355" s="72">
        <v>302.56650476885068</v>
      </c>
    </row>
    <row r="356" spans="1:12">
      <c r="A356" s="58"/>
      <c r="B356" s="280" t="s">
        <v>325</v>
      </c>
      <c r="C356" s="56" t="str">
        <f t="shared" si="18"/>
        <v>406.4x8.0</v>
      </c>
      <c r="D356" s="56" t="str">
        <f t="shared" si="17"/>
        <v>406.4x8</v>
      </c>
      <c r="E356" s="271" t="str">
        <f t="shared" si="16"/>
        <v>CHS 406.4x8</v>
      </c>
      <c r="F356" s="68">
        <v>78.601140228343098</v>
      </c>
      <c r="G356" s="68">
        <v>10.012884105521414</v>
      </c>
      <c r="H356" s="72">
        <v>198.73892784930283</v>
      </c>
      <c r="I356" s="72">
        <v>978.0459047701911</v>
      </c>
      <c r="J356" s="72">
        <v>1269.9511466666684</v>
      </c>
      <c r="K356" s="72">
        <v>140.88406581299392</v>
      </c>
      <c r="L356" s="72">
        <v>397.47785569860565</v>
      </c>
    </row>
    <row r="357" spans="1:12">
      <c r="A357" s="58"/>
      <c r="B357" s="280" t="s">
        <v>326</v>
      </c>
      <c r="C357" s="56" t="str">
        <f t="shared" si="18"/>
        <v>406.4x10.0</v>
      </c>
      <c r="D357" s="56" t="str">
        <f t="shared" si="17"/>
        <v>406.4x10</v>
      </c>
      <c r="E357" s="271" t="str">
        <f t="shared" si="16"/>
        <v>CHS 406.4x10</v>
      </c>
      <c r="F357" s="68">
        <v>97.758195238815077</v>
      </c>
      <c r="G357" s="68">
        <v>12.453273278829947</v>
      </c>
      <c r="H357" s="72">
        <v>244.7581274149172</v>
      </c>
      <c r="I357" s="72">
        <v>1204.5183435773486</v>
      </c>
      <c r="J357" s="72">
        <v>1571.6629333333335</v>
      </c>
      <c r="K357" s="72">
        <v>140.19315247186645</v>
      </c>
      <c r="L357" s="72">
        <v>489.51625482983439</v>
      </c>
    </row>
    <row r="358" spans="1:12">
      <c r="A358" s="58"/>
      <c r="B358" s="280" t="s">
        <v>327</v>
      </c>
      <c r="C358" s="56" t="str">
        <f t="shared" si="18"/>
        <v>406.4x12.0</v>
      </c>
      <c r="D358" s="56" t="str">
        <f t="shared" si="17"/>
        <v>406.4x12</v>
      </c>
      <c r="E358" s="271" t="str">
        <f t="shared" si="16"/>
        <v>CHS 406.4x12</v>
      </c>
      <c r="F358" s="72">
        <v>116.71795823064193</v>
      </c>
      <c r="G358" s="68">
        <v>14.868529710909801</v>
      </c>
      <c r="H358" s="72">
        <v>289.37013575134966</v>
      </c>
      <c r="I358" s="72">
        <v>1424.065628697587</v>
      </c>
      <c r="J358" s="72">
        <v>1867.1923200000003</v>
      </c>
      <c r="K358" s="72">
        <v>139.50598553467159</v>
      </c>
      <c r="L358" s="72">
        <v>578.74027150269933</v>
      </c>
    </row>
    <row r="359" spans="1:12">
      <c r="A359" s="58"/>
      <c r="B359" s="271"/>
      <c r="C359" s="56" t="str">
        <f t="shared" si="18"/>
        <v/>
      </c>
      <c r="D359" s="56" t="str">
        <f t="shared" si="17"/>
        <v/>
      </c>
      <c r="E359" s="271" t="str">
        <f t="shared" si="16"/>
        <v/>
      </c>
      <c r="F359" s="68" t="s">
        <v>135</v>
      </c>
      <c r="G359" s="65" t="s">
        <v>135</v>
      </c>
      <c r="H359" s="72" t="s">
        <v>135</v>
      </c>
      <c r="I359" s="72" t="s">
        <v>135</v>
      </c>
      <c r="J359" s="72" t="s">
        <v>135</v>
      </c>
      <c r="K359" s="72" t="s">
        <v>135</v>
      </c>
      <c r="L359" s="72" t="s">
        <v>135</v>
      </c>
    </row>
    <row r="360" spans="1:12">
      <c r="A360" s="58"/>
      <c r="B360" s="276" t="s">
        <v>471</v>
      </c>
      <c r="C360" s="56" t="str">
        <f t="shared" si="18"/>
        <v>457.0x6.0</v>
      </c>
      <c r="D360" s="56" t="str">
        <f t="shared" si="17"/>
        <v>457x6</v>
      </c>
      <c r="E360" s="271" t="str">
        <f t="shared" si="16"/>
        <v>CHS 457x6</v>
      </c>
      <c r="F360" s="68">
        <v>66.734025306819746</v>
      </c>
      <c r="G360" s="67">
        <v>8.5011497206139808</v>
      </c>
      <c r="H360" s="72">
        <v>216.18104946406805</v>
      </c>
      <c r="I360" s="72">
        <v>946.08774382524314</v>
      </c>
      <c r="J360" s="72">
        <v>1220.4780000000001</v>
      </c>
      <c r="K360" s="72">
        <v>159.46668931159252</v>
      </c>
      <c r="L360" s="72">
        <v>432.36209892813611</v>
      </c>
    </row>
    <row r="361" spans="1:12">
      <c r="A361" s="58"/>
      <c r="B361" s="280" t="s">
        <v>328</v>
      </c>
      <c r="C361" s="56" t="str">
        <f t="shared" si="18"/>
        <v>457.0x8.0</v>
      </c>
      <c r="D361" s="56" t="str">
        <f t="shared" si="17"/>
        <v>457x8</v>
      </c>
      <c r="E361" s="271" t="str">
        <f t="shared" si="16"/>
        <v>CHS 457x8</v>
      </c>
      <c r="F361" s="68">
        <v>88.584116371802054</v>
      </c>
      <c r="G361" s="68">
        <v>11.28460081169453</v>
      </c>
      <c r="H361" s="72">
        <v>284.46362783629706</v>
      </c>
      <c r="I361" s="72">
        <v>1244.9174084739479</v>
      </c>
      <c r="J361" s="72">
        <v>1612.9786666666666</v>
      </c>
      <c r="K361" s="72">
        <v>158.77066794594018</v>
      </c>
      <c r="L361" s="72">
        <v>568.92725567259413</v>
      </c>
    </row>
    <row r="362" spans="1:12">
      <c r="A362" s="58"/>
      <c r="B362" s="280" t="s">
        <v>329</v>
      </c>
      <c r="C362" s="56" t="str">
        <f t="shared" si="18"/>
        <v>457.0x10.0</v>
      </c>
      <c r="D362" s="56" t="str">
        <f t="shared" si="17"/>
        <v>457x10</v>
      </c>
      <c r="E362" s="271" t="str">
        <f t="shared" si="16"/>
        <v>CHS 457x10</v>
      </c>
      <c r="F362" s="72">
        <v>110.23691541813909</v>
      </c>
      <c r="G362" s="68">
        <v>14.042919161546381</v>
      </c>
      <c r="H362" s="72">
        <v>350.91324083319671</v>
      </c>
      <c r="I362" s="72">
        <v>1535.7253428148654</v>
      </c>
      <c r="J362" s="72">
        <v>1998.4233333333334</v>
      </c>
      <c r="K362" s="72">
        <v>158.07790800741256</v>
      </c>
      <c r="L362" s="72">
        <v>701.82648166639342</v>
      </c>
    </row>
    <row r="363" spans="1:12">
      <c r="A363" s="58"/>
      <c r="B363" s="280" t="s">
        <v>330</v>
      </c>
      <c r="C363" s="56" t="str">
        <f t="shared" si="18"/>
        <v>457.0x12.0</v>
      </c>
      <c r="D363" s="56" t="str">
        <f t="shared" si="17"/>
        <v>457x12</v>
      </c>
      <c r="E363" s="271" t="str">
        <f t="shared" si="16"/>
        <v>CHS 457x12</v>
      </c>
      <c r="F363" s="72">
        <v>131.69242244583063</v>
      </c>
      <c r="G363" s="68">
        <v>16.776104770169507</v>
      </c>
      <c r="H363" s="72">
        <v>415.56298827496516</v>
      </c>
      <c r="I363" s="72">
        <v>1818.6564038291692</v>
      </c>
      <c r="J363" s="72">
        <v>2376.8760000000002</v>
      </c>
      <c r="K363" s="72">
        <v>157.38845256244181</v>
      </c>
      <c r="L363" s="72">
        <v>831.12597654993033</v>
      </c>
    </row>
    <row r="364" spans="1:12">
      <c r="A364" s="58"/>
      <c r="B364" s="280"/>
      <c r="C364" s="56" t="str">
        <f t="shared" si="18"/>
        <v/>
      </c>
      <c r="D364" s="56" t="str">
        <f t="shared" si="17"/>
        <v/>
      </c>
      <c r="E364" s="271" t="str">
        <f t="shared" si="16"/>
        <v/>
      </c>
      <c r="F364" s="68"/>
      <c r="G364" s="65"/>
      <c r="H364" s="72"/>
      <c r="I364" s="72"/>
      <c r="J364" s="72"/>
      <c r="K364" s="72"/>
      <c r="L364" s="72"/>
    </row>
    <row r="365" spans="1:12">
      <c r="A365" s="58"/>
      <c r="B365" s="280" t="s">
        <v>331</v>
      </c>
      <c r="C365" s="56" t="str">
        <f t="shared" si="18"/>
        <v>508.0x8.0</v>
      </c>
      <c r="D365" s="56" t="str">
        <f t="shared" si="17"/>
        <v>508x8</v>
      </c>
      <c r="E365" s="271" t="str">
        <f t="shared" si="16"/>
        <v>CHS 508x8</v>
      </c>
      <c r="F365" s="68">
        <v>98.646009322719578</v>
      </c>
      <c r="G365" s="69">
        <v>12.566370614359183</v>
      </c>
      <c r="H365" s="72">
        <v>392.79961266363927</v>
      </c>
      <c r="I365" s="72">
        <v>1546.4551679670835</v>
      </c>
      <c r="J365" s="72">
        <v>2000.1706666666666</v>
      </c>
      <c r="K365" s="72">
        <v>176.79932126566547</v>
      </c>
      <c r="L365" s="72">
        <v>785.59922532727853</v>
      </c>
    </row>
    <row r="366" spans="1:12">
      <c r="A366" s="58"/>
      <c r="B366" s="280" t="s">
        <v>332</v>
      </c>
      <c r="C366" s="56" t="str">
        <f t="shared" si="18"/>
        <v>508.0x10.0</v>
      </c>
      <c r="D366" s="56" t="str">
        <f t="shared" si="17"/>
        <v>508x10</v>
      </c>
      <c r="E366" s="271" t="str">
        <f t="shared" si="16"/>
        <v>CHS 508x10</v>
      </c>
      <c r="F366" s="72">
        <v>122.81428160678593</v>
      </c>
      <c r="G366" s="69">
        <v>15.645131414877188</v>
      </c>
      <c r="H366" s="72">
        <v>485.20246056958587</v>
      </c>
      <c r="I366" s="72">
        <v>1910.2459077542751</v>
      </c>
      <c r="J366" s="72">
        <v>2480.3733333333334</v>
      </c>
      <c r="K366" s="72">
        <v>176.10508226624231</v>
      </c>
      <c r="L366" s="72">
        <v>970.40492113917173</v>
      </c>
    </row>
    <row r="367" spans="1:12">
      <c r="A367" s="58"/>
      <c r="B367" s="280" t="s">
        <v>333</v>
      </c>
      <c r="C367" s="56" t="str">
        <f t="shared" si="18"/>
        <v>508.0x12.0</v>
      </c>
      <c r="D367" s="56" t="str">
        <f t="shared" si="17"/>
        <v>508x12</v>
      </c>
      <c r="E367" s="271" t="str">
        <f t="shared" si="16"/>
        <v>CHS 508x12</v>
      </c>
      <c r="F367" s="72">
        <v>146.78526187220677</v>
      </c>
      <c r="G367" s="69">
        <v>18.698759474166469</v>
      </c>
      <c r="H367" s="72">
        <v>575.36082902010207</v>
      </c>
      <c r="I367" s="72">
        <v>2265.2001142523704</v>
      </c>
      <c r="J367" s="72">
        <v>2952.768</v>
      </c>
      <c r="K367" s="72">
        <v>175.41379649275021</v>
      </c>
      <c r="L367" s="72">
        <v>1150.7216580402041</v>
      </c>
    </row>
    <row r="368" spans="1:12">
      <c r="A368" s="58"/>
    </row>
    <row r="369" spans="1:41">
      <c r="A369" s="58"/>
    </row>
    <row r="370" spans="1:41">
      <c r="A370" s="58"/>
    </row>
    <row r="371" spans="1:41" ht="23.25">
      <c r="A371" s="58"/>
      <c r="B371" s="267" t="s">
        <v>128</v>
      </c>
      <c r="C371" s="1"/>
      <c r="D371" s="1"/>
      <c r="E371" s="267"/>
    </row>
    <row r="372" spans="1:41" ht="23.25">
      <c r="A372" s="58"/>
      <c r="B372" s="267"/>
      <c r="C372" s="1"/>
      <c r="D372" s="1"/>
      <c r="E372" s="267"/>
    </row>
    <row r="373" spans="1:41" ht="15.75">
      <c r="A373" s="58"/>
      <c r="B373" s="274" t="s">
        <v>0</v>
      </c>
      <c r="C373" s="123"/>
      <c r="D373" s="123"/>
      <c r="E373" s="274"/>
      <c r="F373" s="315" t="s">
        <v>46</v>
      </c>
      <c r="G373" s="315" t="s">
        <v>142</v>
      </c>
      <c r="H373" s="312" t="s">
        <v>535</v>
      </c>
      <c r="I373" s="313"/>
      <c r="J373" s="313"/>
      <c r="K373" s="314"/>
      <c r="L373" s="294" t="s">
        <v>143</v>
      </c>
      <c r="P373" s="324"/>
      <c r="Q373" s="324"/>
      <c r="R373" s="324"/>
    </row>
    <row r="374" spans="1:41" ht="18">
      <c r="A374" s="58"/>
      <c r="B374" s="278" t="s">
        <v>500</v>
      </c>
      <c r="C374" s="264"/>
      <c r="D374" s="264"/>
      <c r="E374" s="281"/>
      <c r="F374" s="316"/>
      <c r="G374" s="316"/>
      <c r="H374" s="124" t="s">
        <v>531</v>
      </c>
      <c r="I374" s="124" t="s">
        <v>532</v>
      </c>
      <c r="J374" s="124" t="s">
        <v>533</v>
      </c>
      <c r="K374" s="124" t="s">
        <v>534</v>
      </c>
      <c r="L374" s="294"/>
      <c r="P374" s="160"/>
      <c r="Q374" s="160"/>
      <c r="R374" s="160"/>
    </row>
    <row r="375" spans="1:41" s="58" customFormat="1" ht="23.25" customHeight="1">
      <c r="B375" s="278" t="s">
        <v>420</v>
      </c>
      <c r="C375" s="95"/>
      <c r="D375" s="95"/>
      <c r="E375" s="278"/>
      <c r="F375" s="95" t="s">
        <v>47</v>
      </c>
      <c r="G375" s="95" t="s">
        <v>501</v>
      </c>
      <c r="H375" s="95" t="s">
        <v>502</v>
      </c>
      <c r="I375" s="95" t="s">
        <v>503</v>
      </c>
      <c r="J375" s="95" t="s">
        <v>503</v>
      </c>
      <c r="K375" s="95" t="s">
        <v>146</v>
      </c>
      <c r="L375" s="161" t="s">
        <v>504</v>
      </c>
      <c r="M375" s="162"/>
      <c r="N375" s="6"/>
      <c r="O375" s="6"/>
      <c r="P375" s="92"/>
      <c r="Q375" s="92"/>
      <c r="R375" s="92"/>
    </row>
    <row r="376" spans="1:41">
      <c r="A376" s="59"/>
      <c r="F376" s="56"/>
      <c r="G376" s="56"/>
      <c r="H376" s="56"/>
      <c r="I376" s="56"/>
      <c r="J376" s="56"/>
      <c r="K376" s="56"/>
      <c r="L376" s="144"/>
      <c r="M376" s="136"/>
      <c r="P376" s="86"/>
      <c r="Q376" s="86"/>
      <c r="R376" s="86"/>
      <c r="T376" s="86"/>
      <c r="U376" s="86"/>
      <c r="V376" s="86"/>
      <c r="W376" s="86"/>
    </row>
    <row r="377" spans="1:41">
      <c r="A377" s="59"/>
      <c r="B377" s="276" t="s">
        <v>414</v>
      </c>
      <c r="C377" s="71"/>
      <c r="D377" s="71"/>
      <c r="E377" s="276"/>
      <c r="F377" s="65">
        <v>2.83</v>
      </c>
      <c r="G377" s="69">
        <v>0.33890481249999999</v>
      </c>
      <c r="H377" s="142">
        <v>6.9399548147627471E-2</v>
      </c>
      <c r="I377" s="67">
        <v>3.6526077972435509</v>
      </c>
      <c r="J377" s="67">
        <v>4.4284863831250005</v>
      </c>
      <c r="K377" s="68">
        <v>14.309994058701093</v>
      </c>
      <c r="L377" s="163">
        <v>0.11563137758353709</v>
      </c>
      <c r="M377" s="136"/>
      <c r="P377" s="87"/>
      <c r="Q377" s="86"/>
      <c r="R377" s="108"/>
      <c r="S377" s="159"/>
      <c r="T377" s="88"/>
      <c r="U377" s="88"/>
      <c r="V377" s="87"/>
      <c r="W377" s="10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43"/>
      <c r="AJ377" s="143"/>
      <c r="AK377" s="143"/>
      <c r="AL377" s="143"/>
      <c r="AM377" s="143"/>
      <c r="AN377" s="143"/>
      <c r="AO377" s="143"/>
    </row>
    <row r="378" spans="1:41">
      <c r="A378" s="59"/>
      <c r="B378" s="280" t="s">
        <v>2</v>
      </c>
      <c r="C378" s="56"/>
      <c r="D378" s="56"/>
      <c r="E378" s="280"/>
      <c r="F378" s="7">
        <v>3.358896617438599</v>
      </c>
      <c r="G378" s="8">
        <v>0.39682300164692441</v>
      </c>
      <c r="H378" s="8">
        <v>7.852134604685812E-2</v>
      </c>
      <c r="I378" s="7">
        <v>4.1327024235188485</v>
      </c>
      <c r="J378" s="7">
        <v>5.0986990214100167</v>
      </c>
      <c r="K378" s="15">
        <v>14.066804412579627</v>
      </c>
      <c r="L378" s="164">
        <v>0.13349182023564077</v>
      </c>
      <c r="M378" s="136"/>
      <c r="P378" s="87"/>
      <c r="Q378" s="86"/>
      <c r="R378" s="108"/>
      <c r="S378" s="159"/>
      <c r="T378" s="88"/>
      <c r="U378" s="88"/>
      <c r="V378" s="87"/>
      <c r="W378" s="10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43"/>
      <c r="AJ378" s="143"/>
      <c r="AK378" s="143"/>
      <c r="AL378" s="143"/>
      <c r="AM378" s="143"/>
      <c r="AN378" s="143"/>
      <c r="AO378" s="143"/>
    </row>
    <row r="379" spans="1:41">
      <c r="A379" s="59"/>
      <c r="B379" s="280" t="s">
        <v>384</v>
      </c>
      <c r="C379" s="56"/>
      <c r="D379" s="56"/>
      <c r="E379" s="280"/>
      <c r="F379" s="7">
        <v>3.8755550912663423</v>
      </c>
      <c r="G379" s="8">
        <v>0.4514535300194249</v>
      </c>
      <c r="H379" s="8">
        <v>8.622319050121964E-2</v>
      </c>
      <c r="I379" s="7">
        <v>4.5380626579589283</v>
      </c>
      <c r="J379" s="7">
        <v>5.6916090268997657</v>
      </c>
      <c r="K379" s="15">
        <v>13.819919644616972</v>
      </c>
      <c r="L379" s="164">
        <v>0.14955674704460029</v>
      </c>
      <c r="M379" s="136"/>
      <c r="P379" s="87"/>
      <c r="Q379" s="86"/>
      <c r="R379" s="108"/>
      <c r="S379" s="159"/>
      <c r="T379" s="88"/>
      <c r="U379" s="88"/>
      <c r="V379" s="87"/>
      <c r="W379" s="10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43"/>
      <c r="AJ379" s="143"/>
      <c r="AK379" s="143"/>
      <c r="AL379" s="143"/>
      <c r="AM379" s="143"/>
      <c r="AN379" s="143"/>
      <c r="AO379" s="143"/>
    </row>
    <row r="380" spans="1:41">
      <c r="A380" s="59"/>
      <c r="B380" s="280"/>
      <c r="C380" s="56"/>
      <c r="D380" s="56"/>
      <c r="E380" s="280"/>
      <c r="F380" s="56"/>
      <c r="G380" s="56"/>
      <c r="H380" s="56"/>
      <c r="I380" s="56"/>
      <c r="J380" s="56"/>
      <c r="K380" s="56"/>
      <c r="L380" s="144"/>
      <c r="M380" s="136"/>
      <c r="P380" s="87"/>
      <c r="Q380" s="86"/>
      <c r="R380" s="108"/>
      <c r="S380" s="159"/>
      <c r="T380" s="88"/>
      <c r="U380" s="88"/>
      <c r="V380" s="87"/>
      <c r="W380" s="10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43"/>
      <c r="AJ380" s="143"/>
      <c r="AK380" s="143"/>
      <c r="AL380" s="143"/>
      <c r="AM380" s="143"/>
      <c r="AN380" s="143"/>
      <c r="AO380" s="143"/>
    </row>
    <row r="381" spans="1:41">
      <c r="A381" s="59"/>
      <c r="B381" s="280" t="s">
        <v>3</v>
      </c>
      <c r="C381" s="56"/>
      <c r="D381" s="56"/>
      <c r="E381" s="280"/>
      <c r="F381" s="165">
        <v>3.760879105428681</v>
      </c>
      <c r="G381" s="166">
        <v>0.45890486225480864</v>
      </c>
      <c r="H381" s="166">
        <v>0.16943880580495582</v>
      </c>
      <c r="I381" s="165">
        <v>6.7775522321982331</v>
      </c>
      <c r="J381" s="165">
        <v>8.0739305784295041</v>
      </c>
      <c r="K381" s="167">
        <v>19.215208945840544</v>
      </c>
      <c r="L381" s="168">
        <v>0.27532325797056478</v>
      </c>
      <c r="M381" s="136"/>
      <c r="P381" s="87"/>
      <c r="Q381" s="86"/>
      <c r="R381" s="108"/>
      <c r="S381" s="108"/>
      <c r="T381" s="88"/>
      <c r="U381" s="88"/>
      <c r="V381" s="87"/>
      <c r="W381" s="10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43"/>
      <c r="AJ381" s="143"/>
      <c r="AK381" s="143"/>
      <c r="AL381" s="143"/>
      <c r="AM381" s="143"/>
      <c r="AN381" s="143"/>
      <c r="AO381" s="143"/>
    </row>
    <row r="382" spans="1:41" ht="12.75" customHeight="1">
      <c r="A382" s="59"/>
      <c r="B382" s="280" t="s">
        <v>4</v>
      </c>
      <c r="C382" s="56"/>
      <c r="D382" s="56"/>
      <c r="E382" s="280"/>
      <c r="F382" s="165">
        <v>4.4760626730183981</v>
      </c>
      <c r="G382" s="166">
        <v>0.54082300164692443</v>
      </c>
      <c r="H382" s="166">
        <v>0.19467136236306759</v>
      </c>
      <c r="I382" s="165">
        <v>7.7868544945227036</v>
      </c>
      <c r="J382" s="165">
        <v>9.3876370312915647</v>
      </c>
      <c r="K382" s="167">
        <v>18.972451748555628</v>
      </c>
      <c r="L382" s="168">
        <v>0.32134759498193927</v>
      </c>
      <c r="M382" s="136"/>
      <c r="P382" s="87"/>
      <c r="Q382" s="86"/>
      <c r="R382" s="108"/>
      <c r="S382" s="108"/>
      <c r="T382" s="88"/>
      <c r="U382" s="88"/>
      <c r="V382" s="87"/>
      <c r="W382" s="10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43"/>
      <c r="AJ382" s="143"/>
      <c r="AK382" s="143"/>
      <c r="AL382" s="143"/>
      <c r="AM382" s="143"/>
      <c r="AN382" s="143"/>
      <c r="AO382" s="143"/>
    </row>
    <row r="383" spans="1:41" ht="14.25" customHeight="1">
      <c r="A383" s="169"/>
      <c r="B383" s="280" t="s">
        <v>5</v>
      </c>
      <c r="C383" s="56"/>
      <c r="D383" s="56"/>
      <c r="E383" s="280"/>
      <c r="F383" s="165">
        <v>5.1789154894427742</v>
      </c>
      <c r="G383" s="166">
        <v>0.61945353001942483</v>
      </c>
      <c r="H383" s="166">
        <v>0.21727582590471611</v>
      </c>
      <c r="I383" s="165">
        <v>8.6910330361886441</v>
      </c>
      <c r="J383" s="167">
        <v>10.605330207016314</v>
      </c>
      <c r="K383" s="167">
        <v>18.72842855712878</v>
      </c>
      <c r="L383" s="168">
        <v>0.36430769991619033</v>
      </c>
      <c r="M383" s="136"/>
      <c r="P383" s="87"/>
      <c r="Q383" s="86"/>
      <c r="R383" s="108"/>
      <c r="S383" s="108"/>
      <c r="T383" s="88"/>
      <c r="U383" s="88"/>
      <c r="V383" s="87"/>
      <c r="W383" s="10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43"/>
      <c r="AJ383" s="143"/>
      <c r="AK383" s="143"/>
      <c r="AL383" s="143"/>
      <c r="AM383" s="143"/>
      <c r="AN383" s="143"/>
      <c r="AO383" s="143"/>
    </row>
    <row r="384" spans="1:41">
      <c r="A384" s="59"/>
      <c r="B384" s="280" t="s">
        <v>6</v>
      </c>
      <c r="C384" s="56"/>
      <c r="D384" s="56"/>
      <c r="E384" s="280"/>
      <c r="F384" s="165">
        <v>5.8694375547018112</v>
      </c>
      <c r="G384" s="166">
        <v>0.69479644737231006</v>
      </c>
      <c r="H384" s="166">
        <v>0.2373587689047105</v>
      </c>
      <c r="I384" s="165">
        <v>9.4943507561884193</v>
      </c>
      <c r="J384" s="167">
        <v>11.728872938662606</v>
      </c>
      <c r="K384" s="167">
        <v>18.483058829132819</v>
      </c>
      <c r="L384" s="168">
        <v>0.40418025038165367</v>
      </c>
      <c r="M384" s="136"/>
      <c r="P384" s="87"/>
      <c r="Q384" s="86"/>
      <c r="R384" s="108"/>
      <c r="S384" s="108"/>
      <c r="T384" s="88"/>
      <c r="U384" s="88"/>
      <c r="V384" s="87"/>
      <c r="W384" s="10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43"/>
      <c r="AJ384" s="143"/>
      <c r="AK384" s="143"/>
      <c r="AL384" s="143"/>
      <c r="AM384" s="143"/>
      <c r="AN384" s="143"/>
      <c r="AO384" s="143"/>
    </row>
    <row r="385" spans="1:41">
      <c r="A385" s="59"/>
      <c r="B385" s="280" t="s">
        <v>7</v>
      </c>
      <c r="C385" s="56"/>
      <c r="D385" s="56"/>
      <c r="E385" s="280"/>
      <c r="F385" s="165">
        <v>6.5476288687955098</v>
      </c>
      <c r="G385" s="166">
        <v>0.7668517537055799</v>
      </c>
      <c r="H385" s="166">
        <v>0.2550249839643009</v>
      </c>
      <c r="I385" s="167">
        <v>10.200999358572036</v>
      </c>
      <c r="J385" s="167">
        <v>12.760128059289277</v>
      </c>
      <c r="K385" s="167">
        <v>18.236255022943087</v>
      </c>
      <c r="L385" s="168">
        <v>0.44094172059955045</v>
      </c>
      <c r="M385" s="136"/>
      <c r="P385" s="87"/>
      <c r="Q385" s="86"/>
      <c r="R385" s="108"/>
      <c r="S385" s="108"/>
      <c r="T385" s="87"/>
      <c r="U385" s="87"/>
      <c r="V385" s="87"/>
      <c r="W385" s="10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43"/>
      <c r="AJ385" s="143"/>
      <c r="AK385" s="143"/>
      <c r="AL385" s="143"/>
      <c r="AM385" s="143"/>
      <c r="AN385" s="143"/>
      <c r="AO385" s="143"/>
    </row>
    <row r="386" spans="1:41">
      <c r="A386" s="59"/>
      <c r="B386" s="280" t="s">
        <v>1</v>
      </c>
      <c r="C386" s="56"/>
      <c r="D386" s="56"/>
      <c r="E386" s="280"/>
      <c r="F386" s="56" t="s">
        <v>135</v>
      </c>
      <c r="G386" s="56" t="s">
        <v>135</v>
      </c>
      <c r="H386" s="56" t="s">
        <v>135</v>
      </c>
      <c r="I386" s="15" t="s">
        <v>135</v>
      </c>
      <c r="J386" s="15" t="s">
        <v>135</v>
      </c>
      <c r="K386" s="56" t="s">
        <v>135</v>
      </c>
      <c r="L386" s="144" t="s">
        <v>135</v>
      </c>
      <c r="M386" s="136"/>
      <c r="P386" s="87"/>
      <c r="Q386" s="86"/>
      <c r="R386" s="108"/>
      <c r="S386" s="108"/>
      <c r="T386" s="87"/>
      <c r="U386" s="87"/>
      <c r="V386" s="87"/>
      <c r="W386" s="10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43"/>
      <c r="AJ386" s="143"/>
      <c r="AK386" s="143"/>
      <c r="AL386" s="143"/>
      <c r="AM386" s="143"/>
      <c r="AN386" s="143"/>
      <c r="AO386" s="143"/>
    </row>
    <row r="387" spans="1:41">
      <c r="A387" s="59"/>
      <c r="B387" s="280" t="s">
        <v>8</v>
      </c>
      <c r="C387" s="56"/>
      <c r="D387" s="56"/>
      <c r="E387" s="280"/>
      <c r="F387" s="16">
        <v>4.5438818044277713</v>
      </c>
      <c r="G387" s="17">
        <v>0.55890486225480873</v>
      </c>
      <c r="H387" s="17">
        <v>0.30342156647895446</v>
      </c>
      <c r="I387" s="18">
        <v>10.114052215965149</v>
      </c>
      <c r="J387" s="18">
        <v>11.930954889703552</v>
      </c>
      <c r="K387" s="18">
        <v>23.299911914077981</v>
      </c>
      <c r="L387" s="145">
        <v>0.48656063452608966</v>
      </c>
      <c r="M387" s="136"/>
      <c r="P387" s="87"/>
      <c r="Q387" s="86"/>
      <c r="R387" s="108"/>
      <c r="S387" s="108"/>
      <c r="T387" s="87"/>
      <c r="U387" s="87"/>
      <c r="V387" s="87"/>
      <c r="W387" s="10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43"/>
      <c r="AJ387" s="143"/>
      <c r="AK387" s="143"/>
      <c r="AL387" s="143"/>
      <c r="AM387" s="143"/>
      <c r="AN387" s="143"/>
      <c r="AO387" s="143"/>
    </row>
    <row r="388" spans="1:41">
      <c r="A388" s="59"/>
      <c r="B388" s="280" t="s">
        <v>9</v>
      </c>
      <c r="C388" s="56"/>
      <c r="D388" s="56"/>
      <c r="E388" s="280"/>
      <c r="F388" s="16">
        <v>5.4156659118173041</v>
      </c>
      <c r="G388" s="17">
        <v>0.66082300164692442</v>
      </c>
      <c r="H388" s="17">
        <v>0.35134830771715642</v>
      </c>
      <c r="I388" s="18">
        <v>11.711610257238549</v>
      </c>
      <c r="J388" s="18">
        <v>13.951752039526188</v>
      </c>
      <c r="K388" s="18">
        <v>23.058250735008656</v>
      </c>
      <c r="L388" s="145">
        <v>0.57091030772776297</v>
      </c>
      <c r="M388" s="136"/>
      <c r="P388" s="87"/>
      <c r="Q388" s="86"/>
      <c r="R388" s="108"/>
      <c r="S388" s="108"/>
      <c r="T388" s="87"/>
      <c r="U388" s="87"/>
      <c r="V388" s="87"/>
      <c r="W388" s="10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43"/>
      <c r="AJ388" s="143"/>
      <c r="AK388" s="143"/>
      <c r="AL388" s="143"/>
      <c r="AM388" s="143"/>
      <c r="AN388" s="143"/>
      <c r="AO388" s="143"/>
    </row>
    <row r="389" spans="1:41">
      <c r="A389" s="59"/>
      <c r="B389" s="280" t="s">
        <v>10</v>
      </c>
      <c r="C389" s="56"/>
      <c r="D389" s="56"/>
      <c r="E389" s="280"/>
      <c r="F389" s="16">
        <v>6.2751192680415011</v>
      </c>
      <c r="G389" s="17">
        <v>0.75945353001942484</v>
      </c>
      <c r="H389" s="17">
        <v>0.39533463289203158</v>
      </c>
      <c r="I389" s="18">
        <v>13.177821096401054</v>
      </c>
      <c r="J389" s="18">
        <v>15.855097857113442</v>
      </c>
      <c r="K389" s="18">
        <v>22.815596541977325</v>
      </c>
      <c r="L389" s="145">
        <v>0.65088031838692539</v>
      </c>
      <c r="M389" s="136"/>
      <c r="P389" s="87"/>
      <c r="Q389" s="86"/>
      <c r="R389" s="108"/>
      <c r="S389" s="108"/>
      <c r="T389" s="87"/>
      <c r="U389" s="87"/>
      <c r="V389" s="87"/>
      <c r="W389" s="10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43"/>
      <c r="AJ389" s="143"/>
      <c r="AK389" s="143"/>
      <c r="AL389" s="143"/>
      <c r="AM389" s="143"/>
      <c r="AN389" s="143"/>
      <c r="AO389" s="143"/>
    </row>
    <row r="390" spans="1:41">
      <c r="A390" s="59"/>
      <c r="B390" s="280" t="s">
        <v>11</v>
      </c>
      <c r="C390" s="56"/>
      <c r="D390" s="56"/>
      <c r="E390" s="280"/>
      <c r="F390" s="16">
        <v>7.1222418731003563</v>
      </c>
      <c r="G390" s="17">
        <v>0.85479644737230998</v>
      </c>
      <c r="H390" s="17">
        <v>0.43551074280897761</v>
      </c>
      <c r="I390" s="18">
        <v>14.517024760299254</v>
      </c>
      <c r="J390" s="18">
        <v>17.642855175524154</v>
      </c>
      <c r="K390" s="18">
        <v>22.571898146014721</v>
      </c>
      <c r="L390" s="145">
        <v>0.72644339055101415</v>
      </c>
      <c r="M390" s="136"/>
      <c r="P390" s="87"/>
      <c r="Q390" s="86"/>
      <c r="R390" s="108"/>
      <c r="S390" s="108"/>
      <c r="T390" s="87"/>
      <c r="U390" s="87"/>
      <c r="V390" s="87"/>
      <c r="W390" s="10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43"/>
      <c r="AJ390" s="143"/>
      <c r="AK390" s="143"/>
      <c r="AL390" s="143"/>
      <c r="AM390" s="143"/>
      <c r="AN390" s="143"/>
      <c r="AO390" s="143"/>
    </row>
    <row r="391" spans="1:41">
      <c r="A391" s="59"/>
      <c r="B391" s="280" t="s">
        <v>12</v>
      </c>
      <c r="C391" s="56"/>
      <c r="D391" s="56"/>
      <c r="E391" s="280"/>
      <c r="F391" s="16">
        <v>7.957033726993858</v>
      </c>
      <c r="G391" s="17">
        <v>0.94685175370557983</v>
      </c>
      <c r="H391" s="17">
        <v>0.47200505839983314</v>
      </c>
      <c r="I391" s="18">
        <v>15.733501946661105</v>
      </c>
      <c r="J391" s="18">
        <v>19.316886827817175</v>
      </c>
      <c r="K391" s="18">
        <v>22.327100770597333</v>
      </c>
      <c r="L391" s="145">
        <v>0.79757164887295229</v>
      </c>
      <c r="M391" s="136"/>
      <c r="P391" s="87"/>
      <c r="Q391" s="86"/>
      <c r="R391" s="108"/>
      <c r="S391" s="108"/>
      <c r="T391" s="87"/>
      <c r="U391" s="87"/>
      <c r="V391" s="87"/>
      <c r="W391" s="10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43"/>
      <c r="AJ391" s="143"/>
      <c r="AK391" s="143"/>
      <c r="AL391" s="143"/>
      <c r="AM391" s="143"/>
      <c r="AN391" s="143"/>
      <c r="AO391" s="143"/>
    </row>
    <row r="392" spans="1:41">
      <c r="A392" s="59"/>
      <c r="B392" s="280" t="s">
        <v>1</v>
      </c>
      <c r="C392" s="56"/>
      <c r="D392" s="56"/>
      <c r="E392" s="280"/>
      <c r="F392" s="56" t="s">
        <v>135</v>
      </c>
      <c r="G392" s="56" t="s">
        <v>135</v>
      </c>
      <c r="H392" s="56" t="s">
        <v>135</v>
      </c>
      <c r="I392" s="15" t="s">
        <v>135</v>
      </c>
      <c r="J392" s="15" t="s">
        <v>135</v>
      </c>
      <c r="K392" s="56" t="s">
        <v>135</v>
      </c>
      <c r="L392" s="144" t="s">
        <v>135</v>
      </c>
      <c r="M392" s="136"/>
      <c r="P392" s="87"/>
      <c r="Q392" s="86"/>
      <c r="R392" s="108"/>
      <c r="S392" s="108"/>
      <c r="T392" s="87"/>
      <c r="U392" s="87"/>
      <c r="V392" s="87"/>
      <c r="W392" s="10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43"/>
      <c r="AJ392" s="143"/>
      <c r="AK392" s="143"/>
      <c r="AL392" s="143"/>
      <c r="AM392" s="143"/>
      <c r="AN392" s="143"/>
      <c r="AO392" s="143"/>
    </row>
    <row r="393" spans="1:41">
      <c r="A393" s="59"/>
      <c r="B393" s="280" t="s">
        <v>340</v>
      </c>
      <c r="C393" s="56"/>
      <c r="D393" s="56"/>
      <c r="E393" s="280"/>
      <c r="F393" s="19">
        <v>5.7029724139697242</v>
      </c>
      <c r="G393" s="20">
        <v>0.70890486225480864</v>
      </c>
      <c r="H393" s="20">
        <v>0.61382428832634051</v>
      </c>
      <c r="I393" s="21">
        <v>16.368647688702413</v>
      </c>
      <c r="J393" s="21">
        <v>19.122741356614615</v>
      </c>
      <c r="K393" s="21">
        <v>29.425784963632164</v>
      </c>
      <c r="L393" s="146">
        <v>0.97133233198533853</v>
      </c>
      <c r="M393" s="136"/>
      <c r="P393" s="87"/>
      <c r="Q393" s="86"/>
      <c r="R393" s="108"/>
      <c r="S393" s="108"/>
      <c r="T393" s="87"/>
      <c r="U393" s="87"/>
      <c r="V393" s="87"/>
      <c r="W393" s="10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43"/>
      <c r="AJ393" s="143"/>
      <c r="AK393" s="143"/>
      <c r="AL393" s="143"/>
      <c r="AM393" s="143"/>
      <c r="AN393" s="143"/>
      <c r="AO393" s="143"/>
    </row>
    <row r="394" spans="1:41">
      <c r="A394" s="59"/>
      <c r="B394" s="280" t="s">
        <v>335</v>
      </c>
      <c r="C394" s="56"/>
      <c r="D394" s="56"/>
      <c r="E394" s="280"/>
      <c r="F394" s="19">
        <v>6.806574643267651</v>
      </c>
      <c r="G394" s="20">
        <v>0.84082300164692447</v>
      </c>
      <c r="H394" s="20">
        <v>0.71619088215268856</v>
      </c>
      <c r="I394" s="21">
        <v>19.098423524071695</v>
      </c>
      <c r="J394" s="21">
        <v>22.485424551878125</v>
      </c>
      <c r="K394" s="21">
        <v>29.185161572094966</v>
      </c>
      <c r="L394" s="147">
        <v>1.1454284262220007</v>
      </c>
      <c r="M394" s="136"/>
      <c r="P394" s="87"/>
      <c r="Q394" s="86"/>
      <c r="R394" s="108"/>
      <c r="S394" s="108"/>
      <c r="T394" s="87"/>
      <c r="U394" s="87"/>
      <c r="V394" s="87"/>
      <c r="W394" s="8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43"/>
      <c r="AJ394" s="143"/>
      <c r="AK394" s="143"/>
      <c r="AL394" s="143"/>
      <c r="AM394" s="143"/>
      <c r="AN394" s="143"/>
      <c r="AO394" s="143"/>
    </row>
    <row r="395" spans="1:41">
      <c r="A395" s="59"/>
      <c r="B395" s="280" t="s">
        <v>336</v>
      </c>
      <c r="C395" s="56"/>
      <c r="D395" s="56"/>
      <c r="E395" s="280"/>
      <c r="F395" s="19">
        <v>7.8978461214002351</v>
      </c>
      <c r="G395" s="20">
        <v>0.96945353001942491</v>
      </c>
      <c r="H395" s="20">
        <v>0.81215286181232571</v>
      </c>
      <c r="I395" s="21">
        <v>21.657409648328684</v>
      </c>
      <c r="J395" s="21">
        <v>25.698499332259129</v>
      </c>
      <c r="K395" s="21">
        <v>28.94378951932627</v>
      </c>
      <c r="L395" s="147">
        <v>1.3127307044350462</v>
      </c>
      <c r="M395" s="136"/>
      <c r="P395" s="87"/>
      <c r="Q395" s="88"/>
      <c r="R395" s="108"/>
      <c r="S395" s="108"/>
      <c r="T395" s="87"/>
      <c r="U395" s="87"/>
      <c r="V395" s="87"/>
      <c r="W395" s="8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43"/>
      <c r="AJ395" s="143"/>
      <c r="AK395" s="143"/>
      <c r="AL395" s="143"/>
      <c r="AM395" s="143"/>
      <c r="AN395" s="143"/>
      <c r="AO395" s="143"/>
    </row>
    <row r="396" spans="1:41">
      <c r="A396" s="59"/>
      <c r="B396" s="280" t="s">
        <v>337</v>
      </c>
      <c r="C396" s="56"/>
      <c r="D396" s="56"/>
      <c r="E396" s="280"/>
      <c r="F396" s="19">
        <v>8.97678684836748</v>
      </c>
      <c r="G396" s="19">
        <v>1.09479644737231</v>
      </c>
      <c r="H396" s="20">
        <v>0.90187587060653207</v>
      </c>
      <c r="I396" s="21">
        <v>24.050023216174189</v>
      </c>
      <c r="J396" s="21">
        <v>28.763828530816486</v>
      </c>
      <c r="K396" s="21">
        <v>28.701638761514566</v>
      </c>
      <c r="L396" s="147">
        <v>1.4732065001964096</v>
      </c>
      <c r="M396" s="136"/>
      <c r="P396" s="87"/>
      <c r="Q396" s="86"/>
      <c r="R396" s="108"/>
      <c r="S396" s="108"/>
      <c r="T396" s="87"/>
      <c r="U396" s="87"/>
      <c r="V396" s="87"/>
      <c r="W396" s="8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43"/>
      <c r="AJ396" s="143"/>
      <c r="AK396" s="143"/>
      <c r="AL396" s="143"/>
      <c r="AM396" s="143"/>
      <c r="AN396" s="143"/>
      <c r="AO396" s="143"/>
    </row>
    <row r="397" spans="1:41">
      <c r="A397" s="59"/>
      <c r="B397" s="280" t="s">
        <v>338</v>
      </c>
      <c r="C397" s="56"/>
      <c r="D397" s="56"/>
      <c r="E397" s="280"/>
      <c r="F397" s="19">
        <v>10.043396824169388</v>
      </c>
      <c r="G397" s="19">
        <v>1.2168517537055801</v>
      </c>
      <c r="H397" s="20">
        <v>0.98552377196302954</v>
      </c>
      <c r="I397" s="21">
        <v>26.280633919014122</v>
      </c>
      <c r="J397" s="21">
        <v>31.683274980609024</v>
      </c>
      <c r="K397" s="21">
        <v>28.458677622833438</v>
      </c>
      <c r="L397" s="147">
        <v>1.6268221995960674</v>
      </c>
      <c r="M397" s="136"/>
      <c r="P397" s="87"/>
      <c r="Q397" s="87"/>
      <c r="R397" s="88"/>
      <c r="S397" s="108"/>
      <c r="T397" s="87"/>
      <c r="U397" s="87"/>
      <c r="V397" s="87"/>
      <c r="W397" s="8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43"/>
      <c r="AJ397" s="143"/>
      <c r="AK397" s="143"/>
      <c r="AL397" s="143"/>
      <c r="AM397" s="143"/>
      <c r="AN397" s="143"/>
      <c r="AO397" s="143"/>
    </row>
    <row r="398" spans="1:41">
      <c r="A398" s="59"/>
      <c r="B398" s="280" t="s">
        <v>339</v>
      </c>
      <c r="C398" s="56"/>
      <c r="D398" s="56"/>
      <c r="E398" s="280"/>
      <c r="F398" s="19">
        <v>11.097676048805935</v>
      </c>
      <c r="G398" s="19">
        <v>1.3356194490192346</v>
      </c>
      <c r="H398" s="19">
        <v>1.0632586494359801</v>
      </c>
      <c r="I398" s="21">
        <v>28.353563984959468</v>
      </c>
      <c r="J398" s="21">
        <v>34.458701514695612</v>
      </c>
      <c r="K398" s="21">
        <v>28.214872682518394</v>
      </c>
      <c r="L398" s="147">
        <v>1.7735434339624365</v>
      </c>
      <c r="M398" s="136"/>
      <c r="P398" s="87"/>
      <c r="Q398" s="86"/>
      <c r="R398" s="108"/>
      <c r="S398" s="108"/>
      <c r="T398" s="87"/>
      <c r="U398" s="87"/>
      <c r="V398" s="87"/>
      <c r="W398" s="8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43"/>
      <c r="AJ398" s="143"/>
      <c r="AK398" s="143"/>
      <c r="AL398" s="143"/>
      <c r="AM398" s="143"/>
      <c r="AN398" s="143"/>
      <c r="AO398" s="143"/>
    </row>
    <row r="399" spans="1:41">
      <c r="A399" s="59"/>
      <c r="B399" s="280" t="s">
        <v>342</v>
      </c>
      <c r="C399" s="56"/>
      <c r="D399" s="56"/>
      <c r="E399" s="280"/>
      <c r="F399" s="240">
        <v>13.169242244583048</v>
      </c>
      <c r="G399" s="240">
        <v>1.5632920065876976</v>
      </c>
      <c r="H399" s="240">
        <v>1.2016287675800967</v>
      </c>
      <c r="I399" s="241">
        <v>32.043433802135915</v>
      </c>
      <c r="J399" s="241">
        <v>39.584946167986296</v>
      </c>
      <c r="K399" s="241">
        <v>27.724588243699227</v>
      </c>
      <c r="L399" s="242">
        <v>2.0461625175571219</v>
      </c>
      <c r="M399" s="136"/>
      <c r="P399" s="87"/>
      <c r="Q399" s="86"/>
      <c r="R399" s="108"/>
      <c r="S399" s="108"/>
      <c r="T399" s="87"/>
      <c r="U399" s="87"/>
      <c r="V399" s="87"/>
      <c r="W399" s="8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43"/>
      <c r="AJ399" s="143"/>
      <c r="AK399" s="143"/>
      <c r="AL399" s="143"/>
      <c r="AM399" s="143"/>
      <c r="AN399" s="143"/>
      <c r="AO399" s="143"/>
    </row>
    <row r="400" spans="1:41">
      <c r="A400" s="59"/>
      <c r="B400" s="280" t="s">
        <v>1</v>
      </c>
      <c r="C400" s="56"/>
      <c r="D400" s="56"/>
      <c r="E400" s="280"/>
      <c r="F400" s="56" t="s">
        <v>135</v>
      </c>
      <c r="G400" s="56" t="s">
        <v>135</v>
      </c>
      <c r="H400" s="56" t="s">
        <v>135</v>
      </c>
      <c r="I400" s="15" t="s">
        <v>135</v>
      </c>
      <c r="J400" s="15" t="s">
        <v>135</v>
      </c>
      <c r="K400" s="56" t="s">
        <v>135</v>
      </c>
      <c r="L400" s="148" t="s">
        <v>135</v>
      </c>
      <c r="M400" s="136"/>
      <c r="P400" s="87"/>
      <c r="Q400" s="86"/>
      <c r="R400" s="88"/>
      <c r="S400" s="159"/>
      <c r="T400" s="87"/>
      <c r="U400" s="87"/>
      <c r="V400" s="87"/>
      <c r="W400" s="8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43"/>
      <c r="AJ400" s="143"/>
      <c r="AK400" s="143"/>
      <c r="AL400" s="143"/>
      <c r="AM400" s="143"/>
      <c r="AN400" s="143"/>
      <c r="AO400" s="143"/>
    </row>
    <row r="401" spans="1:41">
      <c r="A401" s="59"/>
      <c r="B401" s="276" t="s">
        <v>422</v>
      </c>
      <c r="C401" s="71"/>
      <c r="D401" s="71"/>
      <c r="E401" s="276"/>
      <c r="F401" s="65">
        <v>6.11</v>
      </c>
      <c r="G401" s="69">
        <v>0.75890481250000008</v>
      </c>
      <c r="H401" s="69">
        <v>0.75143057711668992</v>
      </c>
      <c r="I401" s="68">
        <v>18.785764427917247</v>
      </c>
      <c r="J401" s="68">
        <v>21.887987445625001</v>
      </c>
      <c r="K401" s="68">
        <v>31.466669467987693</v>
      </c>
      <c r="L401" s="139">
        <v>1.1852004137417798</v>
      </c>
      <c r="M401" s="140"/>
      <c r="P401" s="87"/>
      <c r="Q401" s="86"/>
      <c r="R401" s="108"/>
      <c r="S401" s="108"/>
      <c r="T401" s="87"/>
      <c r="U401" s="87"/>
      <c r="V401" s="87"/>
      <c r="W401" s="8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43"/>
      <c r="AJ401" s="143"/>
      <c r="AK401" s="143"/>
      <c r="AL401" s="143"/>
      <c r="AM401" s="143"/>
      <c r="AN401" s="143"/>
      <c r="AO401" s="143"/>
    </row>
    <row r="402" spans="1:41">
      <c r="A402" s="59"/>
      <c r="B402" s="280" t="s">
        <v>343</v>
      </c>
      <c r="C402" s="56"/>
      <c r="D402" s="56"/>
      <c r="E402" s="280"/>
      <c r="F402" s="22">
        <v>7.2948723894151213</v>
      </c>
      <c r="G402" s="23">
        <v>0.90082300164692442</v>
      </c>
      <c r="H402" s="23">
        <v>0.87842564867237272</v>
      </c>
      <c r="I402" s="24">
        <v>21.960641216809318</v>
      </c>
      <c r="J402" s="24">
        <v>25.779982055995429</v>
      </c>
      <c r="K402" s="24">
        <v>31.227180281315601</v>
      </c>
      <c r="L402" s="149">
        <v>1.3993140837211966</v>
      </c>
      <c r="M402" s="136"/>
      <c r="P402" s="87"/>
      <c r="Q402" s="86"/>
      <c r="R402" s="108"/>
      <c r="S402" s="108"/>
      <c r="T402" s="87"/>
      <c r="U402" s="87"/>
      <c r="V402" s="87"/>
      <c r="W402" s="8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43"/>
      <c r="AJ402" s="143"/>
      <c r="AK402" s="143"/>
      <c r="AL402" s="143"/>
      <c r="AM402" s="143"/>
      <c r="AN402" s="143"/>
      <c r="AO402" s="143"/>
    </row>
    <row r="403" spans="1:41">
      <c r="A403" s="59"/>
      <c r="B403" s="280" t="s">
        <v>344</v>
      </c>
      <c r="C403" s="56"/>
      <c r="D403" s="56"/>
      <c r="E403" s="280"/>
      <c r="F403" s="22">
        <v>8.4675268252389468</v>
      </c>
      <c r="G403" s="22">
        <v>1.039453530019425</v>
      </c>
      <c r="H403" s="23">
        <v>0.99802027636957602</v>
      </c>
      <c r="I403" s="24">
        <v>24.950506909239401</v>
      </c>
      <c r="J403" s="24">
        <v>29.504633157307691</v>
      </c>
      <c r="K403" s="24">
        <v>30.986116055333682</v>
      </c>
      <c r="L403" s="149">
        <v>1.605711594867868</v>
      </c>
      <c r="M403" s="136"/>
      <c r="P403" s="87"/>
      <c r="Q403" s="86"/>
      <c r="R403" s="108"/>
      <c r="S403" s="108"/>
      <c r="T403" s="87"/>
      <c r="U403" s="87"/>
      <c r="V403" s="87"/>
      <c r="W403" s="8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43"/>
      <c r="AJ403" s="143"/>
      <c r="AK403" s="143"/>
      <c r="AL403" s="143"/>
      <c r="AM403" s="143"/>
      <c r="AN403" s="143"/>
      <c r="AO403" s="143"/>
    </row>
    <row r="404" spans="1:41">
      <c r="A404" s="59"/>
      <c r="B404" s="280" t="s">
        <v>341</v>
      </c>
      <c r="C404" s="56"/>
      <c r="D404" s="56"/>
      <c r="E404" s="280"/>
      <c r="F404" s="22">
        <v>9.6278505098974332</v>
      </c>
      <c r="G404" s="22">
        <v>1.17479644737231</v>
      </c>
      <c r="H404" s="22">
        <v>1.1104341577233583</v>
      </c>
      <c r="I404" s="24">
        <v>27.760853943083958</v>
      </c>
      <c r="J404" s="24">
        <v>33.070819649247255</v>
      </c>
      <c r="K404" s="24">
        <v>30.744334313344872</v>
      </c>
      <c r="L404" s="149">
        <v>1.8043585034358927</v>
      </c>
      <c r="M404" s="136"/>
      <c r="P404" s="87"/>
      <c r="Q404" s="86"/>
      <c r="R404" s="108"/>
      <c r="S404" s="108"/>
      <c r="T404" s="87"/>
      <c r="U404" s="87"/>
      <c r="V404" s="87"/>
      <c r="W404" s="8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43"/>
      <c r="AJ404" s="143"/>
      <c r="AK404" s="143"/>
      <c r="AL404" s="143"/>
      <c r="AM404" s="143"/>
      <c r="AN404" s="143"/>
      <c r="AO404" s="143"/>
    </row>
    <row r="405" spans="1:41">
      <c r="A405" s="59"/>
      <c r="B405" s="280" t="s">
        <v>345</v>
      </c>
      <c r="C405" s="56"/>
      <c r="D405" s="56"/>
      <c r="E405" s="280"/>
      <c r="F405" s="24">
        <v>10.775843443390587</v>
      </c>
      <c r="G405" s="22">
        <v>1.3068517537055799</v>
      </c>
      <c r="H405" s="22">
        <v>1.2158429703267348</v>
      </c>
      <c r="I405" s="24">
        <v>30.396074258168369</v>
      </c>
      <c r="J405" s="24">
        <v>36.480404364872975</v>
      </c>
      <c r="K405" s="24">
        <v>30.501807900956489</v>
      </c>
      <c r="L405" s="149">
        <v>1.9952194006151558</v>
      </c>
      <c r="M405" s="136"/>
      <c r="P405" s="87"/>
      <c r="Q405" s="86"/>
      <c r="R405" s="88"/>
      <c r="S405" s="88"/>
      <c r="T405" s="87"/>
      <c r="U405" s="87"/>
      <c r="V405" s="87"/>
      <c r="W405" s="8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43"/>
      <c r="AJ405" s="143"/>
      <c r="AK405" s="143"/>
      <c r="AL405" s="143"/>
      <c r="AM405" s="143"/>
      <c r="AN405" s="143"/>
      <c r="AO405" s="143"/>
    </row>
    <row r="406" spans="1:41">
      <c r="A406" s="59"/>
      <c r="B406" s="280" t="s">
        <v>346</v>
      </c>
      <c r="C406" s="56"/>
      <c r="D406" s="56"/>
      <c r="E406" s="280"/>
      <c r="F406" s="24">
        <v>11.911505625718378</v>
      </c>
      <c r="G406" s="22">
        <v>1.4356194490192344</v>
      </c>
      <c r="H406" s="22">
        <v>1.3144206118991619</v>
      </c>
      <c r="I406" s="24">
        <v>32.860515297479047</v>
      </c>
      <c r="J406" s="24">
        <v>39.735250137243696</v>
      </c>
      <c r="K406" s="24">
        <v>30.258508273605532</v>
      </c>
      <c r="L406" s="149">
        <v>2.1782580244689203</v>
      </c>
      <c r="M406" s="136"/>
      <c r="P406" s="87"/>
      <c r="Q406" s="86"/>
      <c r="R406" s="88"/>
      <c r="S406" s="88"/>
      <c r="T406" s="87"/>
      <c r="U406" s="87"/>
      <c r="V406" s="87"/>
      <c r="W406" s="8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43"/>
      <c r="AJ406" s="143"/>
      <c r="AK406" s="143"/>
      <c r="AL406" s="143"/>
      <c r="AM406" s="143"/>
      <c r="AN406" s="143"/>
      <c r="AO406" s="143"/>
    </row>
    <row r="407" spans="1:41">
      <c r="A407" s="59"/>
      <c r="B407" s="280" t="s">
        <v>347</v>
      </c>
      <c r="C407" s="56"/>
      <c r="D407" s="56"/>
      <c r="E407" s="280"/>
      <c r="F407" s="24">
        <v>14.145837736877981</v>
      </c>
      <c r="G407" s="22">
        <v>1.6832920065876977</v>
      </c>
      <c r="H407" s="22">
        <v>1.4917690734612015</v>
      </c>
      <c r="I407" s="24">
        <v>37.294226836530036</v>
      </c>
      <c r="J407" s="24">
        <v>45.78817618445553</v>
      </c>
      <c r="K407" s="24">
        <v>29.769467694129776</v>
      </c>
      <c r="L407" s="149">
        <v>2.5207202729811833</v>
      </c>
      <c r="M407" s="136"/>
      <c r="P407" s="87"/>
      <c r="Q407" s="86"/>
      <c r="R407" s="88"/>
      <c r="S407" s="88"/>
      <c r="T407" s="87"/>
      <c r="U407" s="87"/>
      <c r="V407" s="87"/>
      <c r="W407" s="8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43"/>
      <c r="AJ407" s="143"/>
      <c r="AK407" s="143"/>
      <c r="AL407" s="143"/>
      <c r="AM407" s="143"/>
      <c r="AN407" s="143"/>
      <c r="AO407" s="143"/>
    </row>
    <row r="408" spans="1:41">
      <c r="A408" s="59"/>
      <c r="B408" s="280" t="s">
        <v>1</v>
      </c>
      <c r="C408" s="56"/>
      <c r="D408" s="56"/>
      <c r="E408" s="280"/>
      <c r="F408" s="56" t="s">
        <v>135</v>
      </c>
      <c r="G408" s="56" t="s">
        <v>135</v>
      </c>
      <c r="H408" s="7" t="s">
        <v>135</v>
      </c>
      <c r="I408" s="15" t="s">
        <v>135</v>
      </c>
      <c r="J408" s="15" t="s">
        <v>135</v>
      </c>
      <c r="K408" s="56" t="s">
        <v>135</v>
      </c>
      <c r="L408" s="148" t="s">
        <v>135</v>
      </c>
      <c r="M408" s="136"/>
      <c r="P408" s="87"/>
      <c r="Q408" s="86"/>
      <c r="R408" s="88"/>
      <c r="S408" s="88"/>
      <c r="T408" s="87"/>
      <c r="U408" s="87"/>
      <c r="V408" s="87"/>
      <c r="W408" s="8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43"/>
      <c r="AJ408" s="143"/>
      <c r="AK408" s="143"/>
      <c r="AL408" s="143"/>
      <c r="AM408" s="143"/>
      <c r="AN408" s="143"/>
      <c r="AO408" s="143"/>
    </row>
    <row r="409" spans="1:41">
      <c r="A409" s="59"/>
      <c r="B409" s="276" t="s">
        <v>476</v>
      </c>
      <c r="C409" s="71"/>
      <c r="D409" s="71"/>
      <c r="E409" s="276"/>
      <c r="F409" s="7">
        <v>7.6758926004241204</v>
      </c>
      <c r="G409" s="8">
        <v>0.95890486225480864</v>
      </c>
      <c r="H409" s="7">
        <v>1.5063050403023535</v>
      </c>
      <c r="I409" s="15">
        <v>30.12610080604707</v>
      </c>
      <c r="J409" s="15">
        <v>34.859052134799732</v>
      </c>
      <c r="K409" s="15">
        <v>39.63407293727569</v>
      </c>
      <c r="L409" s="148">
        <v>2.3520595369871282</v>
      </c>
      <c r="M409" s="136"/>
      <c r="P409" s="87"/>
      <c r="Q409" s="86"/>
      <c r="R409" s="108"/>
      <c r="S409" s="88"/>
      <c r="T409" s="87"/>
      <c r="U409" s="87"/>
      <c r="V409" s="87"/>
      <c r="W409" s="8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43"/>
      <c r="AJ409" s="143"/>
      <c r="AK409" s="143"/>
      <c r="AL409" s="143"/>
      <c r="AM409" s="143"/>
      <c r="AN409" s="143"/>
      <c r="AO409" s="143"/>
    </row>
    <row r="410" spans="1:41">
      <c r="A410" s="59"/>
      <c r="B410" s="280" t="s">
        <v>348</v>
      </c>
      <c r="C410" s="56"/>
      <c r="D410" s="56"/>
      <c r="E410" s="280"/>
      <c r="F410" s="25">
        <v>9.1740788670129234</v>
      </c>
      <c r="G410" s="25">
        <v>1.1408230016469245</v>
      </c>
      <c r="H410" s="25">
        <v>1.7704675899569737</v>
      </c>
      <c r="I410" s="26">
        <v>35.409351799139479</v>
      </c>
      <c r="J410" s="26">
        <v>41.208212072464676</v>
      </c>
      <c r="K410" s="26">
        <v>39.394433172917957</v>
      </c>
      <c r="L410" s="150">
        <v>2.7867543976119267</v>
      </c>
      <c r="M410" s="136"/>
      <c r="P410" s="87"/>
      <c r="Q410" s="86"/>
      <c r="R410" s="88"/>
      <c r="S410" s="88"/>
      <c r="T410" s="87"/>
      <c r="U410" s="87"/>
      <c r="V410" s="87"/>
      <c r="W410" s="8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43"/>
      <c r="AJ410" s="143"/>
      <c r="AK410" s="143"/>
      <c r="AL410" s="143"/>
      <c r="AM410" s="143"/>
      <c r="AN410" s="143"/>
      <c r="AO410" s="143"/>
    </row>
    <row r="411" spans="1:41">
      <c r="A411" s="59"/>
      <c r="B411" s="280" t="s">
        <v>349</v>
      </c>
      <c r="C411" s="56"/>
      <c r="D411" s="56"/>
      <c r="E411" s="280"/>
      <c r="F411" s="26">
        <v>10.659934382436385</v>
      </c>
      <c r="G411" s="25">
        <v>1.319453530019425</v>
      </c>
      <c r="H411" s="25">
        <v>2.0227966258510057</v>
      </c>
      <c r="I411" s="26">
        <v>40.455932517020116</v>
      </c>
      <c r="J411" s="26">
        <v>47.354168457501949</v>
      </c>
      <c r="K411" s="26">
        <v>39.154263624120887</v>
      </c>
      <c r="L411" s="150">
        <v>3.2094547124425072</v>
      </c>
      <c r="M411" s="136"/>
      <c r="P411" s="87"/>
      <c r="Q411" s="86"/>
      <c r="R411" s="88"/>
      <c r="S411" s="88"/>
      <c r="T411" s="87"/>
      <c r="U411" s="87"/>
      <c r="V411" s="87"/>
      <c r="W411" s="8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43"/>
      <c r="AJ411" s="143"/>
      <c r="AK411" s="143"/>
      <c r="AL411" s="143"/>
      <c r="AM411" s="143"/>
      <c r="AN411" s="143"/>
      <c r="AO411" s="143"/>
    </row>
    <row r="412" spans="1:41">
      <c r="A412" s="59"/>
      <c r="B412" s="280" t="s">
        <v>13</v>
      </c>
      <c r="C412" s="56"/>
      <c r="D412" s="56"/>
      <c r="E412" s="280"/>
      <c r="F412" s="26">
        <v>12.133459146694515</v>
      </c>
      <c r="G412" s="25">
        <v>1.4947964473723101</v>
      </c>
      <c r="H412" s="25">
        <v>2.2635168621122013</v>
      </c>
      <c r="I412" s="26">
        <v>45.270337242244025</v>
      </c>
      <c r="J412" s="26">
        <v>53.29878412297036</v>
      </c>
      <c r="K412" s="26">
        <v>38.91354876279329</v>
      </c>
      <c r="L412" s="150">
        <v>3.6201194705287922</v>
      </c>
      <c r="M412" s="136"/>
      <c r="P412" s="87"/>
      <c r="Q412" s="86"/>
      <c r="R412" s="88"/>
      <c r="S412" s="88"/>
      <c r="T412" s="87"/>
      <c r="U412" s="87"/>
      <c r="V412" s="87"/>
      <c r="W412" s="8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43"/>
      <c r="AJ412" s="143"/>
      <c r="AK412" s="143"/>
      <c r="AL412" s="143"/>
      <c r="AM412" s="143"/>
      <c r="AN412" s="143"/>
      <c r="AO412" s="143"/>
    </row>
    <row r="413" spans="1:41">
      <c r="A413" s="59"/>
      <c r="B413" s="280" t="s">
        <v>350</v>
      </c>
      <c r="C413" s="56"/>
      <c r="D413" s="56"/>
      <c r="E413" s="280"/>
      <c r="F413" s="26">
        <v>13.594653159787294</v>
      </c>
      <c r="G413" s="25">
        <v>1.66685175370558</v>
      </c>
      <c r="H413" s="25">
        <v>2.4928512329947519</v>
      </c>
      <c r="I413" s="26">
        <v>49.857024659895039</v>
      </c>
      <c r="J413" s="26">
        <v>59.043921901928776</v>
      </c>
      <c r="K413" s="26">
        <v>38.672272447293032</v>
      </c>
      <c r="L413" s="150">
        <v>4.0187064065955242</v>
      </c>
      <c r="M413" s="136"/>
      <c r="P413" s="87"/>
      <c r="Q413" s="86"/>
      <c r="R413" s="88"/>
      <c r="S413" s="88"/>
      <c r="T413" s="87"/>
      <c r="U413" s="87"/>
      <c r="V413" s="87"/>
      <c r="W413" s="8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43"/>
      <c r="AJ413" s="143"/>
      <c r="AK413" s="143"/>
      <c r="AL413" s="143"/>
      <c r="AM413" s="143"/>
      <c r="AN413" s="143"/>
      <c r="AO413" s="143"/>
    </row>
    <row r="414" spans="1:41">
      <c r="A414" s="59"/>
      <c r="B414" s="280" t="s">
        <v>351</v>
      </c>
      <c r="C414" s="56"/>
      <c r="D414" s="56"/>
      <c r="E414" s="280"/>
      <c r="F414" s="26">
        <v>15.043516421714724</v>
      </c>
      <c r="G414" s="25">
        <v>1.8356194490192346</v>
      </c>
      <c r="H414" s="25">
        <v>2.7110208928792932</v>
      </c>
      <c r="I414" s="26">
        <v>54.220417857585865</v>
      </c>
      <c r="J414" s="26">
        <v>64.591444627436033</v>
      </c>
      <c r="K414" s="26">
        <v>38.430417891681088</v>
      </c>
      <c r="L414" s="150">
        <v>4.4051721275290365</v>
      </c>
      <c r="M414" s="136"/>
      <c r="P414" s="87"/>
      <c r="Q414" s="87"/>
      <c r="R414" s="88"/>
      <c r="S414" s="88"/>
      <c r="T414" s="87"/>
      <c r="U414" s="87"/>
      <c r="V414" s="87"/>
      <c r="W414" s="8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43"/>
      <c r="AJ414" s="143"/>
      <c r="AK414" s="143"/>
      <c r="AL414" s="143"/>
      <c r="AM414" s="143"/>
      <c r="AN414" s="143"/>
      <c r="AO414" s="143"/>
    </row>
    <row r="415" spans="1:41">
      <c r="A415" s="59"/>
      <c r="B415" s="280" t="s">
        <v>352</v>
      </c>
      <c r="C415" s="56"/>
      <c r="D415" s="56"/>
      <c r="E415" s="280"/>
      <c r="F415" s="26">
        <v>17.904250692073592</v>
      </c>
      <c r="G415" s="25">
        <v>2.1632920065876977</v>
      </c>
      <c r="H415" s="25">
        <v>3.1147417978090814</v>
      </c>
      <c r="I415" s="26">
        <v>62.294835956181629</v>
      </c>
      <c r="J415" s="26">
        <v>75.101096250332517</v>
      </c>
      <c r="K415" s="26">
        <v>37.944903497111255</v>
      </c>
      <c r="L415" s="150">
        <v>5.1415615197110283</v>
      </c>
      <c r="M415" s="136"/>
      <c r="P415" s="87"/>
      <c r="Q415" s="86"/>
      <c r="R415" s="88"/>
      <c r="S415" s="88"/>
      <c r="T415" s="87"/>
      <c r="U415" s="87"/>
      <c r="V415" s="87"/>
      <c r="W415" s="8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43"/>
      <c r="AJ415" s="143"/>
      <c r="AK415" s="143"/>
      <c r="AL415" s="143"/>
      <c r="AM415" s="143"/>
      <c r="AN415" s="143"/>
      <c r="AO415" s="143"/>
    </row>
    <row r="416" spans="1:41">
      <c r="A416" s="59"/>
      <c r="B416" s="280" t="s">
        <v>1</v>
      </c>
      <c r="C416" s="56"/>
      <c r="D416" s="56"/>
      <c r="E416" s="280"/>
      <c r="F416" s="15" t="s">
        <v>135</v>
      </c>
      <c r="G416" s="7" t="s">
        <v>135</v>
      </c>
      <c r="H416" s="7" t="s">
        <v>135</v>
      </c>
      <c r="I416" s="15" t="s">
        <v>135</v>
      </c>
      <c r="J416" s="15" t="s">
        <v>135</v>
      </c>
      <c r="K416" s="15" t="s">
        <v>135</v>
      </c>
      <c r="L416" s="148" t="s">
        <v>135</v>
      </c>
      <c r="M416" s="136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43"/>
      <c r="AJ416" s="143"/>
      <c r="AK416" s="143"/>
      <c r="AL416" s="143"/>
      <c r="AM416" s="143"/>
      <c r="AN416" s="143"/>
      <c r="AO416" s="143"/>
    </row>
    <row r="417" spans="1:41">
      <c r="A417" s="59"/>
      <c r="B417" s="276" t="s">
        <v>477</v>
      </c>
      <c r="C417" s="265"/>
      <c r="D417" s="265"/>
      <c r="E417" s="282"/>
      <c r="F417" s="83">
        <v>11.053285344610725</v>
      </c>
      <c r="G417" s="13">
        <v>1.3808230016469245</v>
      </c>
      <c r="H417" s="7">
        <v>3.1234741315709615</v>
      </c>
      <c r="I417" s="15">
        <v>52.057902192849362</v>
      </c>
      <c r="J417" s="15">
        <v>60.236442088933906</v>
      </c>
      <c r="K417" s="15">
        <v>47.560887524730838</v>
      </c>
      <c r="L417" s="148">
        <v>4.8772306558965077</v>
      </c>
      <c r="M417" s="136"/>
      <c r="P417" s="87"/>
      <c r="Q417" s="86"/>
      <c r="R417" s="88"/>
      <c r="S417" s="88"/>
      <c r="T417" s="87"/>
      <c r="U417" s="87"/>
      <c r="V417" s="87"/>
      <c r="W417" s="8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43"/>
      <c r="AJ417" s="143"/>
      <c r="AK417" s="143"/>
      <c r="AL417" s="143"/>
      <c r="AM417" s="143"/>
      <c r="AN417" s="143"/>
      <c r="AO417" s="143"/>
    </row>
    <row r="418" spans="1:41">
      <c r="A418" s="59"/>
      <c r="B418" s="280" t="s">
        <v>353</v>
      </c>
      <c r="C418" s="56"/>
      <c r="D418" s="56"/>
      <c r="E418" s="280"/>
      <c r="F418" s="28">
        <v>12.852341939633833</v>
      </c>
      <c r="G418" s="27">
        <v>1.599453530019425</v>
      </c>
      <c r="H418" s="27">
        <v>3.581663681336321</v>
      </c>
      <c r="I418" s="28">
        <v>59.694394688938686</v>
      </c>
      <c r="J418" s="28">
        <v>69.403703757696192</v>
      </c>
      <c r="K418" s="28">
        <v>47.321291416293441</v>
      </c>
      <c r="L418" s="151">
        <v>5.6301083334277333</v>
      </c>
      <c r="M418" s="136"/>
      <c r="P418" s="87"/>
      <c r="Q418" s="86"/>
      <c r="R418" s="88"/>
      <c r="S418" s="88"/>
      <c r="T418" s="87"/>
      <c r="U418" s="87"/>
      <c r="V418" s="87"/>
      <c r="W418" s="8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43"/>
      <c r="AJ418" s="143"/>
      <c r="AK418" s="143"/>
      <c r="AL418" s="143"/>
      <c r="AM418" s="143"/>
      <c r="AN418" s="143"/>
      <c r="AO418" s="143"/>
    </row>
    <row r="419" spans="1:41">
      <c r="A419" s="59"/>
      <c r="B419" s="280" t="s">
        <v>354</v>
      </c>
      <c r="C419" s="56"/>
      <c r="D419" s="56"/>
      <c r="E419" s="280"/>
      <c r="F419" s="28">
        <v>14.639067783491589</v>
      </c>
      <c r="G419" s="27">
        <v>1.8147964473723099</v>
      </c>
      <c r="H419" s="27">
        <v>4.0227588559755043</v>
      </c>
      <c r="I419" s="28">
        <v>67.045980932925076</v>
      </c>
      <c r="J419" s="28">
        <v>78.326748596693477</v>
      </c>
      <c r="K419" s="28">
        <v>47.081255941811463</v>
      </c>
      <c r="L419" s="151">
        <v>6.3657235708991138</v>
      </c>
      <c r="M419" s="136"/>
      <c r="P419" s="87"/>
      <c r="Q419" s="86"/>
      <c r="R419" s="88"/>
      <c r="S419" s="88"/>
      <c r="T419" s="87"/>
      <c r="U419" s="87"/>
      <c r="V419" s="87"/>
      <c r="W419" s="8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43"/>
      <c r="AJ419" s="143"/>
      <c r="AK419" s="143"/>
      <c r="AL419" s="143"/>
      <c r="AM419" s="143"/>
      <c r="AN419" s="143"/>
      <c r="AO419" s="143"/>
    </row>
    <row r="420" spans="1:41">
      <c r="A420" s="59"/>
      <c r="B420" s="280" t="s">
        <v>355</v>
      </c>
      <c r="C420" s="56"/>
      <c r="D420" s="56"/>
      <c r="E420" s="280"/>
      <c r="F420" s="28">
        <v>16.413462876183992</v>
      </c>
      <c r="G420" s="27">
        <v>2.0268517537055799</v>
      </c>
      <c r="H420" s="27">
        <v>4.4470298464038862</v>
      </c>
      <c r="I420" s="28">
        <v>74.117164106731437</v>
      </c>
      <c r="J420" s="28">
        <v>87.007439438984591</v>
      </c>
      <c r="K420" s="28">
        <v>46.840770421973396</v>
      </c>
      <c r="L420" s="151">
        <v>7.0840275488385576</v>
      </c>
      <c r="M420" s="136"/>
      <c r="P420" s="87"/>
      <c r="Q420" s="86"/>
      <c r="R420" s="88"/>
      <c r="S420" s="88"/>
      <c r="T420" s="87"/>
      <c r="U420" s="87"/>
      <c r="V420" s="87"/>
      <c r="W420" s="8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43"/>
      <c r="AJ420" s="143"/>
      <c r="AK420" s="143"/>
      <c r="AL420" s="143"/>
      <c r="AM420" s="143"/>
      <c r="AN420" s="143"/>
      <c r="AO420" s="143"/>
    </row>
    <row r="421" spans="1:41" ht="14.25">
      <c r="A421" s="59"/>
      <c r="B421" s="280" t="s">
        <v>356</v>
      </c>
      <c r="C421" s="56"/>
      <c r="D421" s="56"/>
      <c r="E421" s="280"/>
      <c r="F421" s="28">
        <v>18.175527217711085</v>
      </c>
      <c r="G421" s="27">
        <v>2.2356194490192349</v>
      </c>
      <c r="H421" s="27">
        <v>4.8547450636632714</v>
      </c>
      <c r="I421" s="28">
        <v>80.912417727721191</v>
      </c>
      <c r="J421" s="28">
        <v>95.447639117628412</v>
      </c>
      <c r="K421" s="28">
        <v>46.599823828155962</v>
      </c>
      <c r="L421" s="151">
        <v>7.7849701524174346</v>
      </c>
      <c r="M421" s="136"/>
      <c r="P421" s="87"/>
      <c r="Q421" s="86"/>
      <c r="R421" s="88"/>
      <c r="S421" s="88"/>
      <c r="T421" s="87"/>
      <c r="U421" s="87"/>
      <c r="V421" s="87"/>
      <c r="W421" s="88"/>
      <c r="X421" s="84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43"/>
      <c r="AJ421" s="143"/>
      <c r="AK421" s="143"/>
      <c r="AL421" s="143"/>
      <c r="AM421" s="143"/>
      <c r="AN421" s="143"/>
      <c r="AO421" s="143"/>
    </row>
    <row r="422" spans="1:41" ht="14.25">
      <c r="A422" s="59"/>
      <c r="B422" s="280" t="s">
        <v>357</v>
      </c>
      <c r="C422" s="56"/>
      <c r="D422" s="56"/>
      <c r="E422" s="280"/>
      <c r="F422" s="28">
        <v>21.662663647269216</v>
      </c>
      <c r="G422" s="27">
        <v>2.6432920065876977</v>
      </c>
      <c r="H422" s="27">
        <v>5.6215729234745027</v>
      </c>
      <c r="I422" s="28">
        <v>93.692882057908392</v>
      </c>
      <c r="J422" s="80">
        <v>111.6140163162095</v>
      </c>
      <c r="K422" s="28">
        <v>46.116501470017312</v>
      </c>
      <c r="L422" s="151">
        <v>9.1345649236442075</v>
      </c>
      <c r="M422" s="136"/>
      <c r="P422" s="87"/>
      <c r="Q422" s="86"/>
      <c r="R422" s="88"/>
      <c r="S422" s="88"/>
      <c r="T422" s="87"/>
      <c r="U422" s="89"/>
      <c r="V422" s="87"/>
      <c r="W422" s="88"/>
      <c r="X422" s="84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43"/>
      <c r="AJ422" s="143"/>
      <c r="AK422" s="143"/>
      <c r="AL422" s="143"/>
      <c r="AM422" s="143"/>
      <c r="AN422" s="143"/>
      <c r="AO422" s="143"/>
    </row>
    <row r="423" spans="1:41" ht="14.25">
      <c r="A423" s="59"/>
      <c r="B423" s="280" t="s">
        <v>1</v>
      </c>
      <c r="C423" s="56"/>
      <c r="D423" s="56"/>
      <c r="E423" s="280"/>
      <c r="F423" s="15" t="s">
        <v>135</v>
      </c>
      <c r="G423" s="7" t="s">
        <v>135</v>
      </c>
      <c r="H423" s="7" t="s">
        <v>135</v>
      </c>
      <c r="I423" s="56" t="s">
        <v>135</v>
      </c>
      <c r="J423" s="75" t="s">
        <v>135</v>
      </c>
      <c r="K423" s="15" t="s">
        <v>135</v>
      </c>
      <c r="L423" s="144" t="s">
        <v>135</v>
      </c>
      <c r="M423" s="136"/>
      <c r="P423" s="87"/>
      <c r="Q423" s="86"/>
      <c r="R423" s="88"/>
      <c r="S423" s="88"/>
      <c r="T423" s="87"/>
      <c r="U423" s="89"/>
      <c r="V423" s="87"/>
      <c r="W423" s="88"/>
      <c r="X423" s="84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43"/>
      <c r="AJ423" s="143"/>
      <c r="AK423" s="143"/>
      <c r="AL423" s="143"/>
      <c r="AM423" s="143"/>
      <c r="AN423" s="143"/>
      <c r="AO423" s="143"/>
    </row>
    <row r="424" spans="1:41" ht="14.25">
      <c r="A424" s="59"/>
      <c r="B424" s="280" t="s">
        <v>386</v>
      </c>
      <c r="C424" s="266"/>
      <c r="D424" s="266"/>
      <c r="E424" s="283"/>
      <c r="F424" s="83">
        <v>18.397480738687232</v>
      </c>
      <c r="G424" s="13">
        <v>2.2947964473723101</v>
      </c>
      <c r="H424" s="7">
        <v>8.078170514535076</v>
      </c>
      <c r="I424" s="75">
        <v>107.70894019380101</v>
      </c>
      <c r="J424" s="75">
        <v>124.86869530727809</v>
      </c>
      <c r="K424" s="15">
        <v>59.33137641989925</v>
      </c>
      <c r="L424" s="152">
        <v>12.647583379255977</v>
      </c>
      <c r="M424" s="136"/>
      <c r="P424" s="87"/>
      <c r="Q424" s="86"/>
      <c r="R424" s="88"/>
      <c r="S424" s="88"/>
      <c r="T424" s="89"/>
      <c r="U424" s="89"/>
      <c r="V424" s="87"/>
      <c r="W424" s="87"/>
      <c r="X424" s="84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43"/>
      <c r="AJ424" s="143"/>
      <c r="AK424" s="143"/>
      <c r="AL424" s="143"/>
      <c r="AM424" s="143"/>
      <c r="AN424" s="143"/>
      <c r="AO424" s="143"/>
    </row>
    <row r="425" spans="1:41" ht="14.25">
      <c r="A425" s="59"/>
      <c r="B425" s="280" t="s">
        <v>14</v>
      </c>
      <c r="C425" s="56"/>
      <c r="D425" s="56"/>
      <c r="E425" s="280"/>
      <c r="F425" s="30">
        <v>20.641677450779078</v>
      </c>
      <c r="G425" s="29">
        <v>2.5668517537055799</v>
      </c>
      <c r="H425" s="29">
        <v>8.962992174157181</v>
      </c>
      <c r="I425" s="76">
        <v>119.50656232209576</v>
      </c>
      <c r="J425" s="76">
        <v>139.07771574456825</v>
      </c>
      <c r="K425" s="30">
        <v>59.091649759376949</v>
      </c>
      <c r="L425" s="153">
        <v>14.107944137910382</v>
      </c>
      <c r="M425" s="136"/>
      <c r="P425" s="87"/>
      <c r="Q425" s="86"/>
      <c r="R425" s="88"/>
      <c r="S425" s="87"/>
      <c r="T425" s="89"/>
      <c r="U425" s="89"/>
      <c r="V425" s="87"/>
      <c r="W425" s="87"/>
      <c r="X425" s="84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43"/>
      <c r="AJ425" s="143"/>
      <c r="AK425" s="143"/>
      <c r="AL425" s="143"/>
      <c r="AM425" s="143"/>
      <c r="AN425" s="143"/>
      <c r="AO425" s="143"/>
    </row>
    <row r="426" spans="1:41" ht="14.25">
      <c r="A426" s="59"/>
      <c r="B426" s="280" t="s">
        <v>15</v>
      </c>
      <c r="C426" s="56"/>
      <c r="D426" s="56"/>
      <c r="E426" s="280"/>
      <c r="F426" s="32">
        <v>27.300283080062673</v>
      </c>
      <c r="G426" s="31">
        <v>3.3632920065876979</v>
      </c>
      <c r="H426" s="32">
        <v>11.459054114443017</v>
      </c>
      <c r="I426" s="77">
        <v>152.78738819257356</v>
      </c>
      <c r="J426" s="77">
        <v>179.883396415025</v>
      </c>
      <c r="K426" s="32">
        <v>58.370323144189932</v>
      </c>
      <c r="L426" s="154">
        <v>18.326854819552011</v>
      </c>
      <c r="M426" s="136"/>
      <c r="P426" s="87"/>
      <c r="Q426" s="86"/>
      <c r="R426" s="88"/>
      <c r="S426" s="87"/>
      <c r="T426" s="89"/>
      <c r="U426" s="89"/>
      <c r="V426" s="87"/>
      <c r="W426" s="87"/>
      <c r="X426" s="84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43"/>
      <c r="AJ426" s="143"/>
      <c r="AK426" s="143"/>
      <c r="AL426" s="143"/>
      <c r="AM426" s="143"/>
      <c r="AN426" s="143"/>
      <c r="AO426" s="143"/>
    </row>
    <row r="427" spans="1:41" ht="14.25">
      <c r="A427" s="59"/>
      <c r="B427" s="280" t="s">
        <v>16</v>
      </c>
      <c r="C427" s="56"/>
      <c r="D427" s="56"/>
      <c r="E427" s="280"/>
      <c r="F427" s="32">
        <v>36.005793402792669</v>
      </c>
      <c r="G427" s="31">
        <v>4.3242477193189872</v>
      </c>
      <c r="H427" s="32">
        <v>14.118333707433983</v>
      </c>
      <c r="I427" s="77">
        <v>188.24444943245311</v>
      </c>
      <c r="J427" s="77">
        <v>225.95629122921093</v>
      </c>
      <c r="K427" s="32">
        <v>57.139500414724267</v>
      </c>
      <c r="L427" s="154">
        <v>23.640830390626185</v>
      </c>
      <c r="M427" s="136"/>
      <c r="P427" s="87"/>
      <c r="Q427" s="86"/>
      <c r="R427" s="88"/>
      <c r="S427" s="87"/>
      <c r="T427" s="89"/>
      <c r="U427" s="89"/>
      <c r="V427" s="87"/>
      <c r="W427" s="87"/>
      <c r="X427" s="84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43"/>
      <c r="AJ427" s="143"/>
      <c r="AK427" s="143"/>
      <c r="AL427" s="143"/>
      <c r="AM427" s="143"/>
      <c r="AN427" s="143"/>
      <c r="AO427" s="143"/>
    </row>
    <row r="428" spans="1:41" ht="12.75" customHeight="1">
      <c r="A428" s="59"/>
      <c r="B428" s="280" t="s">
        <v>17</v>
      </c>
      <c r="C428" s="56"/>
      <c r="D428" s="56"/>
      <c r="E428" s="280"/>
      <c r="F428" s="32">
        <v>44.514011706877163</v>
      </c>
      <c r="G428" s="31">
        <v>5.2566370614359172</v>
      </c>
      <c r="H428" s="32">
        <v>16.525294695811592</v>
      </c>
      <c r="I428" s="77">
        <v>220.33726261082126</v>
      </c>
      <c r="J428" s="77">
        <v>269.16518640512919</v>
      </c>
      <c r="K428" s="32">
        <v>56.068715935186262</v>
      </c>
      <c r="L428" s="154">
        <v>28.392354477186075</v>
      </c>
      <c r="M428" s="136"/>
      <c r="P428" s="87"/>
      <c r="Q428" s="86"/>
      <c r="R428" s="88"/>
      <c r="S428" s="87"/>
      <c r="T428" s="89"/>
      <c r="U428" s="89"/>
      <c r="V428" s="87"/>
      <c r="W428" s="87"/>
      <c r="X428" s="84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43"/>
      <c r="AJ428" s="143"/>
      <c r="AK428" s="143"/>
      <c r="AL428" s="143"/>
      <c r="AM428" s="143"/>
      <c r="AN428" s="143"/>
      <c r="AO428" s="143"/>
    </row>
    <row r="429" spans="1:41" ht="14.25">
      <c r="A429" s="59"/>
      <c r="B429" s="280" t="s">
        <v>1</v>
      </c>
      <c r="C429" s="56"/>
      <c r="D429" s="56"/>
      <c r="E429" s="280"/>
      <c r="F429" s="15" t="s">
        <v>135</v>
      </c>
      <c r="G429" s="7" t="s">
        <v>135</v>
      </c>
      <c r="H429" s="15" t="s">
        <v>135</v>
      </c>
      <c r="I429" s="75" t="s">
        <v>135</v>
      </c>
      <c r="J429" s="75" t="s">
        <v>135</v>
      </c>
      <c r="K429" s="56" t="s">
        <v>135</v>
      </c>
      <c r="L429" s="152" t="s">
        <v>135</v>
      </c>
      <c r="M429" s="136"/>
      <c r="P429" s="87"/>
      <c r="Q429" s="86"/>
      <c r="R429" s="88"/>
      <c r="S429" s="87"/>
      <c r="T429" s="89"/>
      <c r="U429" s="89"/>
      <c r="V429" s="87"/>
      <c r="W429" s="87"/>
      <c r="X429" s="84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43"/>
      <c r="AJ429" s="143"/>
      <c r="AK429" s="143"/>
      <c r="AL429" s="143"/>
      <c r="AM429" s="143"/>
      <c r="AN429" s="143"/>
      <c r="AO429" s="143"/>
    </row>
    <row r="430" spans="1:41" ht="14.25">
      <c r="A430" s="59"/>
      <c r="B430" s="276" t="s">
        <v>473</v>
      </c>
      <c r="C430" s="71"/>
      <c r="D430" s="71"/>
      <c r="E430" s="276"/>
      <c r="F430" s="15">
        <v>21.218756605316983</v>
      </c>
      <c r="G430" s="7">
        <v>2.6947964473723101</v>
      </c>
      <c r="H430" s="15">
        <v>13.031183175452293</v>
      </c>
      <c r="I430" s="75">
        <v>148.92780771945479</v>
      </c>
      <c r="J430" s="75">
        <v>171.90365089943205</v>
      </c>
      <c r="K430" s="15">
        <v>69.539080166057687</v>
      </c>
      <c r="L430" s="152">
        <v>20.278131456588977</v>
      </c>
      <c r="M430" s="136"/>
      <c r="P430" s="87"/>
      <c r="Q430" s="86"/>
      <c r="R430" s="88"/>
      <c r="S430" s="87"/>
      <c r="T430" s="89"/>
      <c r="U430" s="89"/>
      <c r="V430" s="87"/>
      <c r="W430" s="87"/>
      <c r="X430" s="84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43"/>
      <c r="AJ430" s="143"/>
      <c r="AK430" s="143"/>
      <c r="AL430" s="143"/>
      <c r="AM430" s="143"/>
      <c r="AN430" s="143"/>
      <c r="AO430" s="143"/>
    </row>
    <row r="431" spans="1:41" ht="14.25">
      <c r="A431" s="59"/>
      <c r="B431" s="280" t="s">
        <v>358</v>
      </c>
      <c r="C431" s="56"/>
      <c r="D431" s="56"/>
      <c r="E431" s="280"/>
      <c r="F431" s="34">
        <v>23.815612800737551</v>
      </c>
      <c r="G431" s="33">
        <v>3.0168517537055801</v>
      </c>
      <c r="H431" s="34">
        <v>14.488305654287867</v>
      </c>
      <c r="I431" s="78">
        <v>165.5806360490042</v>
      </c>
      <c r="J431" s="78">
        <v>191.75086266588798</v>
      </c>
      <c r="K431" s="34">
        <v>69.299773459833489</v>
      </c>
      <c r="L431" s="155">
        <v>22.649042341190892</v>
      </c>
      <c r="M431" s="136"/>
      <c r="P431" s="87"/>
      <c r="Q431" s="86"/>
      <c r="R431" s="88"/>
      <c r="S431" s="87"/>
      <c r="T431" s="89"/>
      <c r="U431" s="89"/>
      <c r="V431" s="87"/>
      <c r="W431" s="87"/>
      <c r="X431" s="84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43"/>
      <c r="AJ431" s="143"/>
      <c r="AK431" s="143"/>
      <c r="AL431" s="143"/>
      <c r="AM431" s="143"/>
      <c r="AN431" s="143"/>
      <c r="AO431" s="143"/>
    </row>
    <row r="432" spans="1:41" ht="14.25">
      <c r="A432" s="59"/>
      <c r="B432" s="280" t="s">
        <v>359</v>
      </c>
      <c r="C432" s="56"/>
      <c r="D432" s="56"/>
      <c r="E432" s="280"/>
      <c r="F432" s="36">
        <v>31.532196880007231</v>
      </c>
      <c r="G432" s="35">
        <v>3.963292006587698</v>
      </c>
      <c r="H432" s="36">
        <v>18.640253400847964</v>
      </c>
      <c r="I432" s="79">
        <v>213.03146743826244</v>
      </c>
      <c r="J432" s="79">
        <v>249.14954649737109</v>
      </c>
      <c r="K432" s="36">
        <v>68.580061510568711</v>
      </c>
      <c r="L432" s="156">
        <v>29.541724425126869</v>
      </c>
      <c r="M432" s="136"/>
      <c r="P432" s="87"/>
      <c r="Q432" s="86"/>
      <c r="R432" s="88"/>
      <c r="S432" s="87"/>
      <c r="T432" s="89"/>
      <c r="U432" s="89"/>
      <c r="V432" s="87"/>
      <c r="W432" s="87"/>
      <c r="X432" s="84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43"/>
      <c r="AJ432" s="143"/>
      <c r="AK432" s="143"/>
      <c r="AL432" s="143"/>
      <c r="AM432" s="143"/>
      <c r="AN432" s="143"/>
      <c r="AO432" s="143"/>
    </row>
    <row r="433" spans="1:41" ht="14.25">
      <c r="A433" s="59"/>
      <c r="B433" s="280" t="s">
        <v>360</v>
      </c>
      <c r="C433" s="56"/>
      <c r="D433" s="56"/>
      <c r="E433" s="280"/>
      <c r="F433" s="36">
        <v>41.64834513605215</v>
      </c>
      <c r="G433" s="35">
        <v>5.124247719318987</v>
      </c>
      <c r="H433" s="36">
        <v>23.254771360974516</v>
      </c>
      <c r="I433" s="79">
        <v>265.76881555399444</v>
      </c>
      <c r="J433" s="79">
        <v>315.90938772069825</v>
      </c>
      <c r="K433" s="36">
        <v>67.366033777617488</v>
      </c>
      <c r="L433" s="156">
        <v>38.356949266925184</v>
      </c>
      <c r="M433" s="136"/>
      <c r="P433" s="87"/>
      <c r="Q433" s="86"/>
      <c r="R433" s="88"/>
      <c r="S433" s="87"/>
      <c r="T433" s="89"/>
      <c r="U433" s="89"/>
      <c r="V433" s="87"/>
      <c r="W433" s="87"/>
      <c r="X433" s="84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43"/>
      <c r="AJ433" s="143"/>
      <c r="AK433" s="143"/>
      <c r="AL433" s="143"/>
      <c r="AM433" s="143"/>
      <c r="AN433" s="143"/>
      <c r="AO433" s="143"/>
    </row>
    <row r="434" spans="1:41" ht="14.25">
      <c r="A434" s="59"/>
      <c r="B434" s="280" t="s">
        <v>361</v>
      </c>
      <c r="C434" s="56"/>
      <c r="D434" s="56"/>
      <c r="E434" s="280"/>
      <c r="F434" s="36">
        <v>51.567201373451596</v>
      </c>
      <c r="G434" s="35">
        <v>6.2566370614359172</v>
      </c>
      <c r="H434" s="36">
        <v>27.509107230122506</v>
      </c>
      <c r="I434" s="79">
        <v>314.38979691568579</v>
      </c>
      <c r="J434" s="79">
        <v>379.24814967307822</v>
      </c>
      <c r="K434" s="36">
        <v>66.308280602095167</v>
      </c>
      <c r="L434" s="156">
        <v>46.407329022601168</v>
      </c>
      <c r="M434" s="136"/>
      <c r="P434" s="87"/>
      <c r="Q434" s="86"/>
      <c r="R434" s="88"/>
      <c r="S434" s="87"/>
      <c r="T434" s="89"/>
      <c r="U434" s="89"/>
      <c r="V434" s="87"/>
      <c r="W434" s="87"/>
      <c r="X434" s="84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43"/>
      <c r="AJ434" s="143"/>
      <c r="AK434" s="143"/>
      <c r="AL434" s="143"/>
      <c r="AM434" s="143"/>
      <c r="AN434" s="143"/>
      <c r="AO434" s="143"/>
    </row>
    <row r="435" spans="1:41">
      <c r="A435" s="59"/>
      <c r="B435" s="276"/>
      <c r="C435" s="71"/>
      <c r="D435" s="71"/>
      <c r="E435" s="276"/>
      <c r="F435" s="15"/>
      <c r="G435" s="7"/>
      <c r="H435" s="15"/>
      <c r="I435" s="75"/>
      <c r="J435" s="75"/>
      <c r="K435" s="15"/>
      <c r="L435" s="152"/>
      <c r="M435" s="136"/>
      <c r="P435" s="87"/>
      <c r="Q435" s="86"/>
      <c r="R435" s="88"/>
      <c r="S435" s="87"/>
      <c r="T435" s="89"/>
      <c r="U435" s="89"/>
      <c r="V435" s="87"/>
      <c r="W435" s="87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43"/>
      <c r="AJ435" s="143"/>
      <c r="AK435" s="143"/>
      <c r="AL435" s="143"/>
      <c r="AM435" s="143"/>
      <c r="AN435" s="143"/>
      <c r="AO435" s="143"/>
    </row>
    <row r="436" spans="1:41">
      <c r="A436" s="59"/>
      <c r="B436" s="276" t="s">
        <v>415</v>
      </c>
      <c r="C436" s="71"/>
      <c r="D436" s="71"/>
      <c r="E436" s="276"/>
      <c r="F436" s="15">
        <v>27.21</v>
      </c>
      <c r="G436" s="7">
        <v>3.4668515925000003</v>
      </c>
      <c r="H436" s="15">
        <v>21.914813001625593</v>
      </c>
      <c r="I436" s="75">
        <v>219.14813001625595</v>
      </c>
      <c r="J436" s="75">
        <v>253</v>
      </c>
      <c r="K436" s="68">
        <v>79.506248013566776</v>
      </c>
      <c r="L436" s="152">
        <v>34.1</v>
      </c>
      <c r="M436" s="136"/>
      <c r="P436" s="87"/>
      <c r="Q436" s="86"/>
      <c r="R436" s="88"/>
      <c r="S436" s="87"/>
      <c r="T436" s="89"/>
      <c r="U436" s="89"/>
      <c r="V436" s="87"/>
      <c r="W436" s="87"/>
      <c r="X436" s="87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43"/>
      <c r="AJ436" s="143"/>
      <c r="AK436" s="143"/>
      <c r="AL436" s="143"/>
      <c r="AM436" s="143"/>
      <c r="AN436" s="143"/>
      <c r="AO436" s="143"/>
    </row>
    <row r="437" spans="1:41">
      <c r="A437" s="59"/>
      <c r="B437" s="280" t="s">
        <v>385</v>
      </c>
      <c r="C437" s="56"/>
      <c r="D437" s="56"/>
      <c r="E437" s="280"/>
      <c r="F437" s="170">
        <v>35.821842251713434</v>
      </c>
      <c r="G437" s="171">
        <v>4.5632920065876981</v>
      </c>
      <c r="H437" s="170">
        <v>28.32748143931158</v>
      </c>
      <c r="I437" s="172">
        <v>283.27481439311583</v>
      </c>
      <c r="J437" s="172">
        <v>329.66569657971741</v>
      </c>
      <c r="K437" s="170">
        <v>78.788866345835913</v>
      </c>
      <c r="L437" s="173">
        <v>44.588070361790827</v>
      </c>
      <c r="M437" s="136"/>
      <c r="P437" s="87"/>
      <c r="Q437" s="86"/>
      <c r="R437" s="88"/>
      <c r="S437" s="87"/>
      <c r="T437" s="89"/>
      <c r="U437" s="89"/>
      <c r="V437" s="87"/>
      <c r="W437" s="87"/>
      <c r="X437" s="87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43"/>
      <c r="AJ437" s="143"/>
      <c r="AK437" s="143"/>
      <c r="AL437" s="143"/>
      <c r="AM437" s="143"/>
      <c r="AN437" s="143"/>
      <c r="AO437" s="143"/>
    </row>
    <row r="438" spans="1:41">
      <c r="A438" s="59"/>
      <c r="B438" s="280" t="s">
        <v>18</v>
      </c>
      <c r="C438" s="56"/>
      <c r="D438" s="56"/>
      <c r="E438" s="280"/>
      <c r="F438" s="170">
        <v>46.505344596654048</v>
      </c>
      <c r="G438" s="171">
        <v>5.9242477193189869</v>
      </c>
      <c r="H438" s="170">
        <v>35.662536426802241</v>
      </c>
      <c r="I438" s="172">
        <v>356.62536426802239</v>
      </c>
      <c r="J438" s="172">
        <v>420.86248421218556</v>
      </c>
      <c r="K438" s="170">
        <v>77.587098164383903</v>
      </c>
      <c r="L438" s="173">
        <v>58.151815088061781</v>
      </c>
      <c r="M438" s="136"/>
      <c r="P438" s="87"/>
      <c r="Q438" s="86"/>
      <c r="R438" s="88"/>
      <c r="S438" s="87"/>
      <c r="T438" s="89"/>
      <c r="U438" s="89"/>
      <c r="V438" s="87"/>
      <c r="W438" s="87"/>
      <c r="X438" s="87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43"/>
      <c r="AJ438" s="143"/>
      <c r="AK438" s="143"/>
      <c r="AL438" s="143"/>
      <c r="AM438" s="143"/>
      <c r="AN438" s="143"/>
      <c r="AO438" s="143"/>
    </row>
    <row r="439" spans="1:41">
      <c r="A439" s="59"/>
      <c r="B439" s="280" t="s">
        <v>19</v>
      </c>
      <c r="C439" s="56"/>
      <c r="D439" s="56"/>
      <c r="E439" s="280"/>
      <c r="F439" s="170">
        <v>56.964600932271949</v>
      </c>
      <c r="G439" s="171">
        <v>7.2566370614359172</v>
      </c>
      <c r="H439" s="170">
        <v>42.510618846132161</v>
      </c>
      <c r="I439" s="172">
        <v>425.10618846132161</v>
      </c>
      <c r="J439" s="172">
        <v>508.08111294102713</v>
      </c>
      <c r="K439" s="170">
        <v>76.538687812185998</v>
      </c>
      <c r="L439" s="173">
        <v>70.717348263035518</v>
      </c>
      <c r="M439" s="136"/>
      <c r="P439" s="87"/>
      <c r="Q439" s="87"/>
      <c r="R439" s="88"/>
      <c r="S439" s="87"/>
      <c r="T439" s="89"/>
      <c r="U439" s="89"/>
      <c r="V439" s="87"/>
      <c r="W439" s="87"/>
      <c r="X439" s="87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43"/>
      <c r="AJ439" s="143"/>
      <c r="AK439" s="143"/>
      <c r="AL439" s="143"/>
      <c r="AM439" s="143"/>
      <c r="AN439" s="143"/>
      <c r="AO439" s="143"/>
    </row>
    <row r="440" spans="1:41">
      <c r="A440" s="59"/>
      <c r="B440" s="280" t="s">
        <v>1</v>
      </c>
      <c r="C440" s="56"/>
      <c r="D440" s="56"/>
      <c r="E440" s="280"/>
      <c r="F440" s="15" t="s">
        <v>135</v>
      </c>
      <c r="G440" s="7" t="s">
        <v>135</v>
      </c>
      <c r="H440" s="15" t="s">
        <v>135</v>
      </c>
      <c r="I440" s="75" t="s">
        <v>135</v>
      </c>
      <c r="J440" s="75" t="s">
        <v>135</v>
      </c>
      <c r="K440" s="56" t="s">
        <v>135</v>
      </c>
      <c r="L440" s="152" t="s">
        <v>135</v>
      </c>
      <c r="M440" s="136"/>
      <c r="P440" s="87"/>
      <c r="Q440" s="86"/>
      <c r="R440" s="88"/>
      <c r="S440" s="87"/>
      <c r="T440" s="89"/>
      <c r="U440" s="89"/>
      <c r="V440" s="87"/>
      <c r="W440" s="87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43"/>
      <c r="AJ440" s="143"/>
      <c r="AK440" s="143"/>
      <c r="AL440" s="143"/>
      <c r="AM440" s="143"/>
      <c r="AN440" s="143"/>
      <c r="AO440" s="143"/>
    </row>
    <row r="441" spans="1:41">
      <c r="A441" s="59"/>
      <c r="B441" s="276" t="s">
        <v>474</v>
      </c>
      <c r="C441" s="71"/>
      <c r="D441" s="71"/>
      <c r="E441" s="276"/>
      <c r="F441" s="174">
        <v>39.50772673374923</v>
      </c>
      <c r="G441" s="175">
        <v>5.0432920065876976</v>
      </c>
      <c r="H441" s="174">
        <v>38.133604571564689</v>
      </c>
      <c r="I441" s="176">
        <v>346.66913246876993</v>
      </c>
      <c r="J441" s="176">
        <v>402.17861664559416</v>
      </c>
      <c r="K441" s="174">
        <v>86.955463055673022</v>
      </c>
      <c r="L441" s="177">
        <v>59.761808850347009</v>
      </c>
      <c r="M441" s="136"/>
      <c r="P441" s="87"/>
      <c r="Q441" s="86"/>
      <c r="R441" s="88"/>
      <c r="S441" s="87"/>
      <c r="T441" s="89"/>
      <c r="U441" s="89"/>
      <c r="V441" s="87"/>
      <c r="W441" s="87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43"/>
      <c r="AJ441" s="143"/>
      <c r="AK441" s="143"/>
      <c r="AL441" s="143"/>
      <c r="AM441" s="143"/>
      <c r="AN441" s="143"/>
      <c r="AO441" s="143"/>
    </row>
    <row r="442" spans="1:41">
      <c r="A442" s="59"/>
      <c r="B442" s="280" t="s">
        <v>362</v>
      </c>
      <c r="C442" s="56"/>
      <c r="D442" s="56"/>
      <c r="E442" s="280"/>
      <c r="F442" s="174">
        <v>52.282384941041435</v>
      </c>
      <c r="G442" s="175">
        <v>6.5642477193189874</v>
      </c>
      <c r="H442" s="174">
        <v>48.280104216311187</v>
      </c>
      <c r="I442" s="176">
        <v>438.91003833010166</v>
      </c>
      <c r="J442" s="176">
        <v>515.62496140537564</v>
      </c>
      <c r="K442" s="174">
        <v>85.761351912006475</v>
      </c>
      <c r="L442" s="177">
        <v>78.148387276112558</v>
      </c>
      <c r="M442" s="136"/>
      <c r="P442" s="87"/>
      <c r="Q442" s="86"/>
      <c r="R442" s="88"/>
      <c r="S442" s="87"/>
      <c r="T442" s="89"/>
      <c r="U442" s="89"/>
      <c r="V442" s="87"/>
      <c r="W442" s="87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43"/>
      <c r="AJ442" s="143"/>
      <c r="AK442" s="143"/>
      <c r="AL442" s="143"/>
      <c r="AM442" s="143"/>
      <c r="AN442" s="143"/>
      <c r="AO442" s="143"/>
    </row>
    <row r="443" spans="1:41">
      <c r="A443" s="59"/>
      <c r="B443" s="280" t="s">
        <v>363</v>
      </c>
      <c r="C443" s="56"/>
      <c r="D443" s="56"/>
      <c r="E443" s="280"/>
      <c r="F443" s="174">
        <v>64.859751129688163</v>
      </c>
      <c r="G443" s="175">
        <v>8.056637061435918</v>
      </c>
      <c r="H443" s="174">
        <v>57.824571477762973</v>
      </c>
      <c r="I443" s="176">
        <v>525.67792252511799</v>
      </c>
      <c r="J443" s="176">
        <v>624.64748355538643</v>
      </c>
      <c r="K443" s="174">
        <v>84.718705589798859</v>
      </c>
      <c r="L443" s="177">
        <v>95.32773483592068</v>
      </c>
      <c r="M443" s="136"/>
      <c r="P443" s="87"/>
      <c r="Q443" s="86"/>
      <c r="R443" s="88"/>
      <c r="S443" s="87"/>
      <c r="T443" s="89"/>
      <c r="U443" s="89"/>
      <c r="V443" s="87"/>
      <c r="W443" s="87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43"/>
      <c r="AJ443" s="143"/>
      <c r="AK443" s="143"/>
      <c r="AL443" s="143"/>
      <c r="AM443" s="143"/>
      <c r="AN443" s="143"/>
      <c r="AO443" s="143"/>
    </row>
    <row r="444" spans="1:41" ht="12.75" customHeight="1">
      <c r="A444" s="58"/>
      <c r="B444" s="280" t="s">
        <v>1</v>
      </c>
      <c r="C444" s="56"/>
      <c r="D444" s="56"/>
      <c r="E444" s="280"/>
      <c r="F444" s="15" t="s">
        <v>135</v>
      </c>
      <c r="G444" s="7" t="s">
        <v>135</v>
      </c>
      <c r="H444" s="15" t="s">
        <v>135</v>
      </c>
      <c r="I444" s="75" t="s">
        <v>135</v>
      </c>
      <c r="J444" s="75" t="s">
        <v>135</v>
      </c>
      <c r="K444" s="56" t="s">
        <v>135</v>
      </c>
      <c r="L444" s="152" t="s">
        <v>135</v>
      </c>
      <c r="M444" s="136"/>
      <c r="P444" s="87"/>
      <c r="Q444" s="86"/>
      <c r="R444" s="88"/>
      <c r="S444" s="87"/>
      <c r="T444" s="89"/>
      <c r="U444" s="89"/>
      <c r="V444" s="87"/>
      <c r="W444" s="87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43"/>
      <c r="AJ444" s="143"/>
      <c r="AK444" s="143"/>
      <c r="AL444" s="143"/>
      <c r="AM444" s="143"/>
      <c r="AN444" s="143"/>
      <c r="AO444" s="143"/>
    </row>
    <row r="445" spans="1:41" ht="12.75" customHeight="1">
      <c r="A445" s="58"/>
      <c r="B445" s="276" t="s">
        <v>416</v>
      </c>
      <c r="C445" s="71"/>
      <c r="D445" s="71"/>
      <c r="E445" s="276"/>
      <c r="F445" s="65">
        <v>34.28</v>
      </c>
      <c r="G445" s="67">
        <v>4.3668515924999998</v>
      </c>
      <c r="H445" s="68">
        <v>43.599412232478656</v>
      </c>
      <c r="I445" s="72">
        <v>348.79529785982925</v>
      </c>
      <c r="J445" s="72">
        <v>400.35437718538503</v>
      </c>
      <c r="K445" s="72">
        <v>99.920845658282857</v>
      </c>
      <c r="L445" s="141">
        <v>67.320747617944789</v>
      </c>
      <c r="M445" s="140"/>
      <c r="P445" s="87"/>
      <c r="Q445" s="86"/>
      <c r="R445" s="88"/>
      <c r="S445" s="87"/>
      <c r="T445" s="89"/>
      <c r="U445" s="89"/>
      <c r="V445" s="89"/>
      <c r="W445" s="89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43"/>
      <c r="AJ445" s="143"/>
      <c r="AK445" s="143"/>
      <c r="AL445" s="143"/>
      <c r="AM445" s="143"/>
      <c r="AN445" s="143"/>
      <c r="AO445" s="143"/>
    </row>
    <row r="446" spans="1:41">
      <c r="A446" s="58"/>
      <c r="B446" s="276" t="s">
        <v>475</v>
      </c>
      <c r="C446" s="71"/>
      <c r="D446" s="71"/>
      <c r="E446" s="276"/>
      <c r="F446" s="178">
        <v>45.241842251713429</v>
      </c>
      <c r="G446" s="179">
        <v>5.7632920065876982</v>
      </c>
      <c r="H446" s="178">
        <v>56.720023772414756</v>
      </c>
      <c r="I446" s="180">
        <v>453.7601901793181</v>
      </c>
      <c r="J446" s="180">
        <v>524.44799674440981</v>
      </c>
      <c r="K446" s="178">
        <v>99.204846602550433</v>
      </c>
      <c r="L446" s="181">
        <v>88.425184878080756</v>
      </c>
      <c r="M446" s="136"/>
      <c r="P446" s="87"/>
      <c r="Q446" s="86"/>
      <c r="R446" s="88"/>
      <c r="S446" s="87"/>
      <c r="T446" s="89"/>
      <c r="U446" s="89"/>
      <c r="V446" s="89"/>
      <c r="W446" s="89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43"/>
      <c r="AJ446" s="143"/>
      <c r="AK446" s="143"/>
      <c r="AL446" s="143"/>
      <c r="AM446" s="143"/>
      <c r="AN446" s="143"/>
      <c r="AO446" s="143"/>
    </row>
    <row r="447" spans="1:41">
      <c r="A447" s="58"/>
      <c r="B447" s="280" t="s">
        <v>20</v>
      </c>
      <c r="C447" s="56"/>
      <c r="D447" s="56"/>
      <c r="E447" s="280"/>
      <c r="F447" s="178">
        <v>59.06534459665405</v>
      </c>
      <c r="G447" s="179">
        <v>7.5242477193189874</v>
      </c>
      <c r="H447" s="178">
        <v>72.292048795319232</v>
      </c>
      <c r="I447" s="180">
        <v>578.33639036255386</v>
      </c>
      <c r="J447" s="180">
        <v>675.76867719516042</v>
      </c>
      <c r="K447" s="178">
        <v>98.019780101441782</v>
      </c>
      <c r="L447" s="182">
        <v>115.97769269444683</v>
      </c>
      <c r="M447" s="136"/>
      <c r="P447" s="87"/>
      <c r="Q447" s="86"/>
      <c r="R447" s="88"/>
      <c r="S447" s="87"/>
      <c r="T447" s="89"/>
      <c r="U447" s="89"/>
      <c r="V447" s="89"/>
      <c r="W447" s="89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43"/>
      <c r="AJ447" s="143"/>
      <c r="AK447" s="143"/>
      <c r="AL447" s="143"/>
      <c r="AM447" s="143"/>
      <c r="AN447" s="143"/>
      <c r="AO447" s="143"/>
    </row>
    <row r="448" spans="1:41">
      <c r="A448" s="58"/>
      <c r="B448" s="280" t="s">
        <v>21</v>
      </c>
      <c r="C448" s="56"/>
      <c r="D448" s="56"/>
      <c r="E448" s="280"/>
      <c r="F448" s="178">
        <v>72.664600932271952</v>
      </c>
      <c r="G448" s="179">
        <v>9.2566370614359172</v>
      </c>
      <c r="H448" s="178">
        <v>87.066739323247617</v>
      </c>
      <c r="I448" s="180">
        <v>696.53391458598094</v>
      </c>
      <c r="J448" s="180">
        <v>821.99703947692512</v>
      </c>
      <c r="K448" s="178">
        <v>96.983872705479868</v>
      </c>
      <c r="L448" s="182">
        <v>141.97220480483836</v>
      </c>
      <c r="M448" s="136"/>
      <c r="P448" s="87"/>
      <c r="Q448" s="86"/>
      <c r="R448" s="88"/>
      <c r="S448" s="87"/>
      <c r="T448" s="89"/>
      <c r="U448" s="89"/>
      <c r="V448" s="89"/>
      <c r="W448" s="89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43"/>
      <c r="AJ448" s="143"/>
      <c r="AK448" s="143"/>
      <c r="AL448" s="143"/>
      <c r="AM448" s="143"/>
      <c r="AN448" s="143"/>
      <c r="AO448" s="143"/>
    </row>
    <row r="449" spans="1:41">
      <c r="A449" s="58"/>
      <c r="B449" s="280" t="s">
        <v>1</v>
      </c>
      <c r="C449" s="56"/>
      <c r="D449" s="56"/>
      <c r="E449" s="280"/>
      <c r="F449" s="15" t="s">
        <v>135</v>
      </c>
      <c r="G449" s="7" t="s">
        <v>135</v>
      </c>
      <c r="H449" s="56" t="s">
        <v>135</v>
      </c>
      <c r="I449" s="75" t="s">
        <v>135</v>
      </c>
      <c r="J449" s="75" t="s">
        <v>135</v>
      </c>
      <c r="K449" s="56" t="s">
        <v>135</v>
      </c>
      <c r="L449" s="183" t="s">
        <v>135</v>
      </c>
      <c r="M449" s="136"/>
      <c r="P449" s="87"/>
      <c r="Q449" s="86"/>
      <c r="R449" s="88"/>
      <c r="S449" s="87"/>
      <c r="T449" s="89"/>
      <c r="U449" s="89"/>
      <c r="V449" s="89"/>
      <c r="W449" s="89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43"/>
      <c r="AJ449" s="143"/>
      <c r="AK449" s="143"/>
      <c r="AL449" s="143"/>
      <c r="AM449" s="143"/>
      <c r="AN449" s="143"/>
      <c r="AO449" s="143"/>
    </row>
    <row r="450" spans="1:41">
      <c r="A450" s="58"/>
      <c r="B450" s="280" t="s">
        <v>364</v>
      </c>
      <c r="C450" s="56"/>
      <c r="D450" s="56"/>
      <c r="E450" s="280"/>
      <c r="F450" s="38">
        <v>68.578705681154588</v>
      </c>
      <c r="G450" s="37">
        <v>8.6442477193189884</v>
      </c>
      <c r="H450" s="74">
        <v>109.05046669452464</v>
      </c>
      <c r="I450" s="74">
        <v>765.26643294403254</v>
      </c>
      <c r="J450" s="74">
        <v>889.90301228324222</v>
      </c>
      <c r="K450" s="74">
        <v>112.31820707933679</v>
      </c>
      <c r="L450" s="157">
        <v>173.54110806831889</v>
      </c>
      <c r="M450" s="136"/>
      <c r="P450" s="87"/>
      <c r="Q450" s="86"/>
      <c r="R450" s="88"/>
      <c r="S450" s="89"/>
      <c r="T450" s="89"/>
      <c r="U450" s="89"/>
      <c r="V450" s="89"/>
      <c r="W450" s="89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43"/>
      <c r="AJ450" s="143"/>
      <c r="AK450" s="143"/>
      <c r="AL450" s="143"/>
      <c r="AM450" s="143"/>
      <c r="AN450" s="143"/>
      <c r="AO450" s="143"/>
    </row>
    <row r="451" spans="1:41">
      <c r="A451" s="58"/>
      <c r="B451" s="280" t="s">
        <v>365</v>
      </c>
      <c r="C451" s="56"/>
      <c r="D451" s="56"/>
      <c r="E451" s="280"/>
      <c r="F451" s="38">
        <v>85.230152054829659</v>
      </c>
      <c r="G451" s="38">
        <v>10.656637061435916</v>
      </c>
      <c r="H451" s="74">
        <v>131.98314747167146</v>
      </c>
      <c r="I451" s="74">
        <v>926.19752611699266</v>
      </c>
      <c r="J451" s="74">
        <v>1086.3631880520534</v>
      </c>
      <c r="K451" s="74">
        <v>111.28820893948129</v>
      </c>
      <c r="L451" s="157">
        <v>213.07992400896421</v>
      </c>
      <c r="M451" s="136"/>
      <c r="P451" s="87"/>
      <c r="Q451" s="86"/>
      <c r="R451" s="87"/>
      <c r="S451" s="89"/>
      <c r="T451" s="89"/>
      <c r="U451" s="89"/>
      <c r="V451" s="89"/>
      <c r="W451" s="89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43"/>
      <c r="AJ451" s="143"/>
      <c r="AK451" s="143"/>
      <c r="AL451" s="143"/>
      <c r="AM451" s="143"/>
      <c r="AN451" s="143"/>
      <c r="AO451" s="143"/>
    </row>
    <row r="452" spans="1:41">
      <c r="A452" s="58"/>
      <c r="B452" s="284"/>
      <c r="C452" s="121"/>
      <c r="D452" s="121"/>
      <c r="E452" s="284"/>
      <c r="F452" s="14"/>
      <c r="G452" s="14"/>
      <c r="H452" s="184"/>
      <c r="I452" s="184"/>
      <c r="J452" s="184"/>
      <c r="K452" s="184"/>
      <c r="L452" s="184"/>
      <c r="P452" s="87"/>
      <c r="Q452" s="86"/>
      <c r="R452" s="87"/>
      <c r="S452" s="89"/>
      <c r="T452" s="89"/>
      <c r="U452" s="89"/>
      <c r="V452" s="89"/>
      <c r="W452" s="89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43"/>
      <c r="AJ452" s="143"/>
      <c r="AK452" s="143"/>
      <c r="AL452" s="143"/>
      <c r="AM452" s="143"/>
      <c r="AN452" s="143"/>
      <c r="AO452" s="143"/>
    </row>
    <row r="453" spans="1:41">
      <c r="A453" s="58"/>
      <c r="B453" s="284"/>
      <c r="C453" s="9"/>
      <c r="D453" s="9"/>
      <c r="E453" s="284"/>
      <c r="G453" s="12"/>
      <c r="H453" s="10"/>
      <c r="I453" s="10"/>
      <c r="J453" s="12"/>
      <c r="K453" s="11"/>
      <c r="L453" s="10"/>
      <c r="M453" s="12"/>
    </row>
    <row r="454" spans="1:41" ht="23.25">
      <c r="A454" s="58"/>
      <c r="B454" s="267" t="s">
        <v>129</v>
      </c>
      <c r="C454" s="1"/>
      <c r="D454" s="1"/>
      <c r="E454" s="267"/>
    </row>
    <row r="455" spans="1:41" ht="15.75" customHeight="1">
      <c r="A455" s="58"/>
    </row>
    <row r="456" spans="1:41" s="90" customFormat="1" ht="12.75" customHeight="1">
      <c r="A456" s="58"/>
      <c r="B456" s="274" t="s">
        <v>0</v>
      </c>
      <c r="C456" s="123"/>
      <c r="D456" s="123"/>
      <c r="E456" s="274"/>
      <c r="F456" s="315" t="s">
        <v>46</v>
      </c>
      <c r="G456" s="315" t="s">
        <v>142</v>
      </c>
      <c r="H456" s="312" t="s">
        <v>437</v>
      </c>
      <c r="I456" s="313"/>
      <c r="J456" s="313"/>
      <c r="K456" s="314"/>
      <c r="L456" s="289" t="s">
        <v>438</v>
      </c>
      <c r="M456" s="289"/>
      <c r="N456" s="289"/>
      <c r="O456" s="289"/>
      <c r="P456" s="124" t="s">
        <v>143</v>
      </c>
      <c r="S456" s="126"/>
    </row>
    <row r="457" spans="1:41" s="91" customFormat="1" ht="18">
      <c r="A457" s="58"/>
      <c r="B457" s="278" t="s">
        <v>500</v>
      </c>
      <c r="C457" s="264"/>
      <c r="D457" s="264"/>
      <c r="E457" s="281"/>
      <c r="F457" s="316"/>
      <c r="G457" s="316"/>
      <c r="H457" s="124" t="s">
        <v>536</v>
      </c>
      <c r="I457" s="124" t="s">
        <v>538</v>
      </c>
      <c r="J457" s="124" t="s">
        <v>533</v>
      </c>
      <c r="K457" s="124" t="s">
        <v>537</v>
      </c>
      <c r="L457" s="124" t="s">
        <v>531</v>
      </c>
      <c r="M457" s="124" t="s">
        <v>538</v>
      </c>
      <c r="N457" s="124" t="s">
        <v>533</v>
      </c>
      <c r="O457" s="124" t="s">
        <v>539</v>
      </c>
      <c r="P457" s="124"/>
    </row>
    <row r="458" spans="1:41" s="4" customFormat="1" ht="18.75">
      <c r="A458" s="58"/>
      <c r="B458" s="278" t="s">
        <v>420</v>
      </c>
      <c r="C458" s="95"/>
      <c r="D458" s="95"/>
      <c r="E458" s="278"/>
      <c r="F458" s="95" t="s">
        <v>47</v>
      </c>
      <c r="G458" s="95" t="s">
        <v>501</v>
      </c>
      <c r="H458" s="95" t="s">
        <v>502</v>
      </c>
      <c r="I458" s="95" t="s">
        <v>503</v>
      </c>
      <c r="J458" s="95" t="s">
        <v>503</v>
      </c>
      <c r="K458" s="95" t="s">
        <v>146</v>
      </c>
      <c r="L458" s="95" t="s">
        <v>502</v>
      </c>
      <c r="M458" s="95" t="s">
        <v>503</v>
      </c>
      <c r="N458" s="95" t="s">
        <v>503</v>
      </c>
      <c r="O458" s="95" t="s">
        <v>146</v>
      </c>
      <c r="P458" s="95" t="s">
        <v>504</v>
      </c>
    </row>
    <row r="459" spans="1:41" ht="12.75" customHeight="1">
      <c r="A459" s="58"/>
      <c r="B459" s="271"/>
      <c r="C459" s="98"/>
      <c r="D459" s="98"/>
      <c r="E459" s="271"/>
      <c r="F459" s="56"/>
      <c r="G459" s="56"/>
      <c r="H459" s="56"/>
      <c r="I459" s="56"/>
      <c r="J459" s="56"/>
      <c r="K459" s="56"/>
      <c r="L459" s="56"/>
      <c r="M459" s="56"/>
      <c r="O459" s="56"/>
      <c r="P459" s="56"/>
    </row>
    <row r="460" spans="1:41" ht="12.75" customHeight="1">
      <c r="A460" s="58"/>
      <c r="B460" s="276" t="s">
        <v>543</v>
      </c>
      <c r="C460" s="71"/>
      <c r="D460" s="71"/>
      <c r="E460" s="276"/>
      <c r="F460" s="185">
        <v>2.8299073924455156</v>
      </c>
      <c r="G460" s="186">
        <v>0.33390486225480864</v>
      </c>
      <c r="H460" s="186">
        <v>9.8865889138289129E-2</v>
      </c>
      <c r="I460" s="185">
        <v>3.9546355655315653</v>
      </c>
      <c r="J460" s="185">
        <v>5.105180578429505</v>
      </c>
      <c r="K460" s="185">
        <v>17.207265774306745</v>
      </c>
      <c r="L460" s="186">
        <v>3.2784009404865339E-2</v>
      </c>
      <c r="M460" s="185">
        <v>2.6227207523892271</v>
      </c>
      <c r="N460" s="185">
        <v>3.1188698002443984</v>
      </c>
      <c r="O460" s="187">
        <v>9.9087680248314189</v>
      </c>
      <c r="P460" s="188">
        <v>8.4295028893607016E-2</v>
      </c>
    </row>
    <row r="461" spans="1:41" ht="12.75" customHeight="1">
      <c r="A461" s="58"/>
      <c r="B461" s="276" t="s">
        <v>544</v>
      </c>
      <c r="C461" s="71"/>
      <c r="D461" s="71"/>
      <c r="E461" s="276"/>
      <c r="F461" s="185">
        <v>3.358896617438599</v>
      </c>
      <c r="G461" s="186">
        <v>0.39082300164692441</v>
      </c>
      <c r="H461" s="186">
        <v>0.11172136236306759</v>
      </c>
      <c r="I461" s="185">
        <v>4.468854494522704</v>
      </c>
      <c r="J461" s="185">
        <v>5.8626370312915643</v>
      </c>
      <c r="K461" s="185">
        <v>16.907447732307386</v>
      </c>
      <c r="L461" s="186">
        <v>3.6671530588110457E-2</v>
      </c>
      <c r="M461" s="185">
        <v>2.9337224470488366</v>
      </c>
      <c r="N461" s="185">
        <v>3.5648495107050087</v>
      </c>
      <c r="O461" s="187">
        <v>9.6866690131625006</v>
      </c>
      <c r="P461" s="188">
        <v>9.6372553753117499E-2</v>
      </c>
    </row>
    <row r="462" spans="1:41" ht="12.75" customHeight="1">
      <c r="A462" s="58"/>
      <c r="B462" s="276" t="s">
        <v>545</v>
      </c>
      <c r="C462" s="71"/>
      <c r="D462" s="71"/>
      <c r="E462" s="276"/>
      <c r="F462" s="185">
        <v>3.8755550912663423</v>
      </c>
      <c r="G462" s="186">
        <v>0.44445353001942489</v>
      </c>
      <c r="H462" s="186">
        <v>0.12249874257138275</v>
      </c>
      <c r="I462" s="185">
        <v>4.8999497028553103</v>
      </c>
      <c r="J462" s="185">
        <v>6.5365802070163133</v>
      </c>
      <c r="K462" s="185">
        <v>16.601702818762838</v>
      </c>
      <c r="L462" s="186">
        <v>3.981760146151006E-2</v>
      </c>
      <c r="M462" s="185">
        <v>3.1854081169208048</v>
      </c>
      <c r="N462" s="185">
        <v>3.955911081773503</v>
      </c>
      <c r="O462" s="187">
        <v>9.4650817157832989</v>
      </c>
      <c r="P462" s="186">
        <v>0.10685361001711276</v>
      </c>
    </row>
    <row r="463" spans="1:41" ht="12.75" customHeight="1">
      <c r="A463" s="58"/>
      <c r="B463" s="271"/>
      <c r="C463" s="98"/>
      <c r="D463" s="98"/>
      <c r="E463" s="271"/>
      <c r="F463" s="56"/>
      <c r="G463" s="56"/>
      <c r="H463" s="56"/>
      <c r="I463" s="56"/>
      <c r="J463" s="56"/>
      <c r="K463" s="56"/>
      <c r="L463" s="56"/>
      <c r="M463" s="56"/>
      <c r="O463" s="56"/>
      <c r="P463" s="56"/>
    </row>
    <row r="464" spans="1:41">
      <c r="A464" s="59"/>
      <c r="B464" s="280" t="s">
        <v>22</v>
      </c>
      <c r="C464" s="56"/>
      <c r="D464" s="56"/>
      <c r="E464" s="280"/>
      <c r="F464" s="39">
        <v>3.760879105428681</v>
      </c>
      <c r="G464" s="40">
        <v>0.45890486225480864</v>
      </c>
      <c r="H464" s="40">
        <v>0.22071323314562105</v>
      </c>
      <c r="I464" s="39">
        <v>7.3571077715207016</v>
      </c>
      <c r="J464" s="39">
        <v>9.0559548897035516</v>
      </c>
      <c r="K464" s="41">
        <v>21.930718314302176</v>
      </c>
      <c r="L464" s="40">
        <v>0.11735962157703099</v>
      </c>
      <c r="M464" s="39">
        <v>5.8679810788515496</v>
      </c>
      <c r="N464" s="250">
        <v>6.841906267155462</v>
      </c>
      <c r="O464" s="41">
        <v>15.99182470586633</v>
      </c>
      <c r="P464" s="40">
        <v>0.25141657461238337</v>
      </c>
      <c r="R464" s="190"/>
    </row>
    <row r="465" spans="1:31">
      <c r="A465" s="59"/>
      <c r="B465" s="280" t="s">
        <v>23</v>
      </c>
      <c r="C465" s="56"/>
      <c r="D465" s="56"/>
      <c r="E465" s="280"/>
      <c r="F465" s="39">
        <v>4.4760626730183981</v>
      </c>
      <c r="G465" s="40">
        <v>0.54082300164692443</v>
      </c>
      <c r="H465" s="40">
        <v>0.25378830771715633</v>
      </c>
      <c r="I465" s="39">
        <v>8.4596102572385448</v>
      </c>
      <c r="J465" s="41">
        <v>10.531752039526188</v>
      </c>
      <c r="K465" s="41">
        <v>21.662482645940173</v>
      </c>
      <c r="L465" s="40">
        <v>0.13439556709132511</v>
      </c>
      <c r="M465" s="39">
        <v>6.7197783545662562</v>
      </c>
      <c r="N465" s="250">
        <v>7.943522023056941</v>
      </c>
      <c r="O465" s="41">
        <v>15.763944419819168</v>
      </c>
      <c r="P465" s="40">
        <v>0.29283615193691853</v>
      </c>
      <c r="R465" s="190"/>
    </row>
    <row r="466" spans="1:31">
      <c r="A466" s="59"/>
      <c r="B466" s="280" t="s">
        <v>366</v>
      </c>
      <c r="C466" s="56"/>
      <c r="D466" s="56"/>
      <c r="E466" s="280"/>
      <c r="F466" s="39">
        <v>5.1789154894427742</v>
      </c>
      <c r="G466" s="40">
        <v>0.61945353001942483</v>
      </c>
      <c r="H466" s="40">
        <v>0.28346296622536488</v>
      </c>
      <c r="I466" s="39">
        <v>9.4487655408454962</v>
      </c>
      <c r="J466" s="41">
        <v>11.900097857113442</v>
      </c>
      <c r="K466" s="41">
        <v>21.391626029597916</v>
      </c>
      <c r="L466" s="40">
        <v>0.1495113620850386</v>
      </c>
      <c r="M466" s="39">
        <v>7.4755681042519297</v>
      </c>
      <c r="N466" s="250">
        <v>8.9605625569191911</v>
      </c>
      <c r="O466" s="41">
        <v>15.535768206282356</v>
      </c>
      <c r="P466" s="40">
        <v>0.33126537720152111</v>
      </c>
      <c r="R466" s="190"/>
    </row>
    <row r="467" spans="1:31">
      <c r="A467" s="59"/>
      <c r="B467" s="280" t="s">
        <v>367</v>
      </c>
      <c r="C467" s="56"/>
      <c r="D467" s="56"/>
      <c r="E467" s="280"/>
      <c r="F467" s="39">
        <v>5.8694375547018112</v>
      </c>
      <c r="G467" s="40">
        <v>0.69479644737231006</v>
      </c>
      <c r="H467" s="40">
        <v>0.30985740947564427</v>
      </c>
      <c r="I467" s="39">
        <v>10.32858031585481</v>
      </c>
      <c r="J467" s="41">
        <v>13.162855175524152</v>
      </c>
      <c r="K467" s="41">
        <v>21.117969012028563</v>
      </c>
      <c r="L467" s="40">
        <v>0.16279995070239217</v>
      </c>
      <c r="M467" s="39">
        <v>8.1399975351196083</v>
      </c>
      <c r="N467" s="250">
        <v>9.8948907018010548</v>
      </c>
      <c r="O467" s="41">
        <v>15.307291052610507</v>
      </c>
      <c r="P467" s="40">
        <v>0.36668834035060599</v>
      </c>
      <c r="R467" s="190"/>
    </row>
    <row r="468" spans="1:31">
      <c r="A468" s="59"/>
      <c r="B468" s="280" t="s">
        <v>368</v>
      </c>
      <c r="C468" s="56"/>
      <c r="D468" s="56"/>
      <c r="E468" s="280"/>
      <c r="F468" s="39">
        <v>6.5476288687955098</v>
      </c>
      <c r="G468" s="40">
        <v>0.7668517537055799</v>
      </c>
      <c r="H468" s="40">
        <v>0.33309005839983313</v>
      </c>
      <c r="I468" s="39">
        <v>11.103001946661104</v>
      </c>
      <c r="J468" s="41">
        <v>14.321886827817176</v>
      </c>
      <c r="K468" s="41">
        <v>20.841315486118351</v>
      </c>
      <c r="L468" s="40">
        <v>0.17435249721404764</v>
      </c>
      <c r="M468" s="39">
        <v>8.717624860702383</v>
      </c>
      <c r="N468" s="250">
        <v>10.74836929076138</v>
      </c>
      <c r="O468" s="41">
        <v>15.078508268549296</v>
      </c>
      <c r="P468" s="40">
        <v>0.39908949994225124</v>
      </c>
      <c r="R468" s="190"/>
    </row>
    <row r="469" spans="1:31">
      <c r="A469" s="59"/>
      <c r="B469" s="280" t="s">
        <v>1</v>
      </c>
      <c r="C469" s="56"/>
      <c r="D469" s="56"/>
      <c r="E469" s="280"/>
      <c r="F469" s="56" t="s">
        <v>135</v>
      </c>
      <c r="G469" s="56" t="s">
        <v>135</v>
      </c>
      <c r="H469" s="56" t="s">
        <v>135</v>
      </c>
      <c r="I469" s="56" t="s">
        <v>135</v>
      </c>
      <c r="J469" s="15" t="s">
        <v>135</v>
      </c>
      <c r="K469" s="56" t="s">
        <v>135</v>
      </c>
      <c r="L469" s="56" t="s">
        <v>135</v>
      </c>
      <c r="M469" s="56" t="s">
        <v>135</v>
      </c>
      <c r="N469" s="249"/>
      <c r="O469" s="56" t="s">
        <v>135</v>
      </c>
      <c r="P469" s="56" t="s">
        <v>135</v>
      </c>
      <c r="R469" s="137"/>
    </row>
    <row r="470" spans="1:31">
      <c r="A470" s="59"/>
      <c r="B470" s="280" t="s">
        <v>24</v>
      </c>
      <c r="C470" s="56"/>
      <c r="D470" s="56"/>
      <c r="E470" s="280"/>
      <c r="F470" s="42">
        <v>4.3465897857823217</v>
      </c>
      <c r="G470" s="43">
        <v>0.52890486225480871</v>
      </c>
      <c r="H470" s="43">
        <v>0.38317425589851922</v>
      </c>
      <c r="I470" s="42">
        <v>10.083533049961032</v>
      </c>
      <c r="J470" s="44">
        <v>12.679693787742021</v>
      </c>
      <c r="K470" s="44">
        <v>26.915929468076492</v>
      </c>
      <c r="L470" s="43">
        <v>0.12937804723830815</v>
      </c>
      <c r="M470" s="42">
        <v>6.8093709072793756</v>
      </c>
      <c r="N470" s="248">
        <v>7.8080014049006543</v>
      </c>
      <c r="O470" s="44">
        <v>15.64017168784908</v>
      </c>
      <c r="P470" s="43">
        <v>0.31993696324146625</v>
      </c>
      <c r="R470" s="191"/>
    </row>
    <row r="471" spans="1:31">
      <c r="A471" s="59"/>
      <c r="B471" s="280" t="s">
        <v>25</v>
      </c>
      <c r="C471" s="56"/>
      <c r="D471" s="56"/>
      <c r="E471" s="280"/>
      <c r="F471" s="42">
        <v>5.1789154894427663</v>
      </c>
      <c r="G471" s="43">
        <v>0.6248230016469245</v>
      </c>
      <c r="H471" s="43">
        <v>0.44296101245497843</v>
      </c>
      <c r="I471" s="42">
        <v>11.656868748815223</v>
      </c>
      <c r="J471" s="44">
        <v>14.804336052701583</v>
      </c>
      <c r="K471" s="44">
        <v>26.625896969149004</v>
      </c>
      <c r="L471" s="43">
        <v>0.14851734604685815</v>
      </c>
      <c r="M471" s="42">
        <v>7.8167024235188496</v>
      </c>
      <c r="N471" s="248">
        <v>9.0886990214100187</v>
      </c>
      <c r="O471" s="44">
        <v>15.417362559529044</v>
      </c>
      <c r="P471" s="43">
        <v>0.37289481666267743</v>
      </c>
      <c r="R471" s="191"/>
    </row>
    <row r="472" spans="1:31">
      <c r="A472" s="59"/>
      <c r="B472" s="280" t="s">
        <v>26</v>
      </c>
      <c r="C472" s="56"/>
      <c r="D472" s="56"/>
      <c r="E472" s="280"/>
      <c r="F472" s="42">
        <v>5.9989104419378734</v>
      </c>
      <c r="G472" s="43">
        <v>0.71745353001942491</v>
      </c>
      <c r="H472" s="43">
        <v>0.49748772452708967</v>
      </c>
      <c r="I472" s="42">
        <v>13.091782224397097</v>
      </c>
      <c r="J472" s="44">
        <v>16.796226097268839</v>
      </c>
      <c r="K472" s="44">
        <v>26.33263359154909</v>
      </c>
      <c r="L472" s="43">
        <v>0.16564635716788631</v>
      </c>
      <c r="M472" s="42">
        <v>8.7182293246255966</v>
      </c>
      <c r="N472" s="247">
        <v>10.280109026899765</v>
      </c>
      <c r="O472" s="44">
        <v>15.194767401257568</v>
      </c>
      <c r="P472" s="43">
        <v>0.4221681747676797</v>
      </c>
      <c r="R472" s="191"/>
    </row>
    <row r="473" spans="1:31">
      <c r="A473" s="59"/>
      <c r="B473" s="280" t="s">
        <v>369</v>
      </c>
      <c r="C473" s="56"/>
      <c r="D473" s="56"/>
      <c r="E473" s="280"/>
      <c r="F473" s="42">
        <v>6.8065746432676404</v>
      </c>
      <c r="G473" s="43">
        <v>0.80679644737231004</v>
      </c>
      <c r="H473" s="43">
        <v>0.54690339824919221</v>
      </c>
      <c r="I473" s="42">
        <v>14.392194690768214</v>
      </c>
      <c r="J473" s="44">
        <v>18.657226754502634</v>
      </c>
      <c r="K473" s="44">
        <v>26.035943616998409</v>
      </c>
      <c r="L473" s="43">
        <v>0.18086229907949572</v>
      </c>
      <c r="M473" s="42">
        <v>9.5190683726050391</v>
      </c>
      <c r="N473" s="247">
        <v>11.384094254428744</v>
      </c>
      <c r="O473" s="44">
        <v>14.972421163373699</v>
      </c>
      <c r="P473" s="43">
        <v>0.46775439722387846</v>
      </c>
      <c r="R473" s="191"/>
    </row>
    <row r="474" spans="1:31">
      <c r="A474" s="59"/>
      <c r="B474" s="280" t="s">
        <v>370</v>
      </c>
      <c r="C474" s="56"/>
      <c r="D474" s="56"/>
      <c r="E474" s="280"/>
      <c r="F474" s="42">
        <v>7.60190809343207</v>
      </c>
      <c r="G474" s="43">
        <v>0.8928517537055799</v>
      </c>
      <c r="H474" s="43">
        <v>0.59135525988206517</v>
      </c>
      <c r="I474" s="42">
        <v>15.561980523212242</v>
      </c>
      <c r="J474" s="44">
        <v>20.389200857461816</v>
      </c>
      <c r="K474" s="44">
        <v>25.73561518097673</v>
      </c>
      <c r="L474" s="43">
        <v>0.19426061038623046</v>
      </c>
      <c r="M474" s="44">
        <v>10.224242651906867</v>
      </c>
      <c r="N474" s="247">
        <v>12.402517537055797</v>
      </c>
      <c r="O474" s="44">
        <v>14.750362601363539</v>
      </c>
      <c r="P474" s="43">
        <v>0.50965190054526699</v>
      </c>
      <c r="R474" s="192"/>
    </row>
    <row r="475" spans="1:31">
      <c r="A475" s="59"/>
      <c r="B475" s="280" t="s">
        <v>1</v>
      </c>
      <c r="C475" s="56"/>
      <c r="D475" s="56"/>
      <c r="E475" s="280"/>
      <c r="F475" s="56" t="s">
        <v>135</v>
      </c>
      <c r="G475" s="56" t="s">
        <v>135</v>
      </c>
      <c r="H475" s="56" t="s">
        <v>135</v>
      </c>
      <c r="I475" s="56" t="s">
        <v>135</v>
      </c>
      <c r="J475" s="15" t="s">
        <v>135</v>
      </c>
      <c r="K475" s="56" t="s">
        <v>135</v>
      </c>
      <c r="L475" s="56" t="s">
        <v>135</v>
      </c>
      <c r="M475" s="56" t="s">
        <v>135</v>
      </c>
      <c r="N475" s="249"/>
      <c r="O475" s="56" t="s">
        <v>135</v>
      </c>
      <c r="P475" s="56" t="s">
        <v>135</v>
      </c>
      <c r="R475" s="137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</row>
    <row r="476" spans="1:31">
      <c r="A476" s="59"/>
      <c r="B476" s="280" t="s">
        <v>27</v>
      </c>
      <c r="C476" s="56"/>
      <c r="D476" s="56"/>
      <c r="E476" s="280"/>
      <c r="F476" s="45">
        <v>4.5438818044277713</v>
      </c>
      <c r="G476" s="46">
        <v>0.55890486225480873</v>
      </c>
      <c r="H476" s="46">
        <v>0.45105615049850623</v>
      </c>
      <c r="I476" s="45">
        <v>11.276403762462655</v>
      </c>
      <c r="J476" s="47">
        <v>14.145003512251636</v>
      </c>
      <c r="K476" s="47">
        <v>28.408372939023135</v>
      </c>
      <c r="L476" s="46">
        <v>0.15256795491036432</v>
      </c>
      <c r="M476" s="45">
        <v>7.6283977455182157</v>
      </c>
      <c r="N476" s="246">
        <v>8.716906267155462</v>
      </c>
      <c r="O476" s="47">
        <v>16.522003829315693</v>
      </c>
      <c r="P476" s="46">
        <v>0.37583772421866596</v>
      </c>
      <c r="R476" s="193"/>
      <c r="T476" s="87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</row>
    <row r="477" spans="1:31">
      <c r="A477" s="59"/>
      <c r="B477" s="280" t="s">
        <v>28</v>
      </c>
      <c r="C477" s="56"/>
      <c r="D477" s="56"/>
      <c r="E477" s="280"/>
      <c r="F477" s="45">
        <v>5.4156659118173041</v>
      </c>
      <c r="G477" s="46">
        <v>0.66082300164692442</v>
      </c>
      <c r="H477" s="46">
        <v>0.52250564867237248</v>
      </c>
      <c r="I477" s="45">
        <v>13.062641216809311</v>
      </c>
      <c r="J477" s="47">
        <v>16.539982055995427</v>
      </c>
      <c r="K477" s="47">
        <v>28.119197316851089</v>
      </c>
      <c r="L477" s="46">
        <v>0.17555556709132511</v>
      </c>
      <c r="M477" s="45">
        <v>8.7777783545662551</v>
      </c>
      <c r="N477" s="253">
        <v>10.163522023056942</v>
      </c>
      <c r="O477" s="47">
        <v>16.29914139862181</v>
      </c>
      <c r="P477" s="46">
        <v>0.43878630989782152</v>
      </c>
      <c r="R477" s="193"/>
      <c r="T477" s="87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</row>
    <row r="478" spans="1:31">
      <c r="A478" s="59"/>
      <c r="B478" s="280" t="s">
        <v>29</v>
      </c>
      <c r="C478" s="56"/>
      <c r="D478" s="56"/>
      <c r="E478" s="280"/>
      <c r="F478" s="45">
        <v>6.2751192680415011</v>
      </c>
      <c r="G478" s="46">
        <v>0.75945353001942484</v>
      </c>
      <c r="H478" s="46">
        <v>0.58807694303624281</v>
      </c>
      <c r="I478" s="45">
        <v>14.70192357590607</v>
      </c>
      <c r="J478" s="47">
        <v>18.79463315730769</v>
      </c>
      <c r="K478" s="47">
        <v>27.827005479858151</v>
      </c>
      <c r="L478" s="46">
        <v>0.19628302875170522</v>
      </c>
      <c r="M478" s="45">
        <v>9.8141514375852612</v>
      </c>
      <c r="N478" s="253">
        <v>11.515562556919191</v>
      </c>
      <c r="O478" s="47">
        <v>16.076472902448515</v>
      </c>
      <c r="P478" s="46">
        <v>0.49765338720182067</v>
      </c>
      <c r="R478" s="193"/>
      <c r="T478" s="87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</row>
    <row r="479" spans="1:31">
      <c r="A479" s="59"/>
      <c r="B479" s="280" t="s">
        <v>30</v>
      </c>
      <c r="C479" s="56"/>
      <c r="D479" s="56"/>
      <c r="E479" s="280"/>
      <c r="F479" s="45">
        <v>7.1222418731003563</v>
      </c>
      <c r="G479" s="46">
        <v>0.85479644737230998</v>
      </c>
      <c r="H479" s="46">
        <v>0.64792749105669167</v>
      </c>
      <c r="I479" s="45">
        <v>16.198187276417293</v>
      </c>
      <c r="J479" s="47">
        <v>20.910819649247252</v>
      </c>
      <c r="K479" s="47">
        <v>27.531625238890793</v>
      </c>
      <c r="L479" s="46">
        <v>0.21485328403572551</v>
      </c>
      <c r="M479" s="47">
        <v>10.742664201786276</v>
      </c>
      <c r="N479" s="253">
        <v>12.774890701801054</v>
      </c>
      <c r="O479" s="47">
        <v>15.854028839730272</v>
      </c>
      <c r="P479" s="46">
        <v>0.55243590135714293</v>
      </c>
      <c r="R479" s="194"/>
      <c r="T479" s="87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</row>
    <row r="480" spans="1:31">
      <c r="A480" s="59"/>
      <c r="B480" s="280" t="s">
        <v>371</v>
      </c>
      <c r="C480" s="56"/>
      <c r="D480" s="56"/>
      <c r="E480" s="280"/>
      <c r="F480" s="45">
        <v>7.957033726993858</v>
      </c>
      <c r="G480" s="46">
        <v>0.94685175370557983</v>
      </c>
      <c r="H480" s="46">
        <v>0.70221297032673446</v>
      </c>
      <c r="I480" s="45">
        <v>17.555324258168362</v>
      </c>
      <c r="J480" s="47">
        <v>22.890404364872975</v>
      </c>
      <c r="K480" s="47">
        <v>27.23287104165118</v>
      </c>
      <c r="L480" s="46">
        <v>0.23136749721404767</v>
      </c>
      <c r="M480" s="47">
        <v>11.568374860702383</v>
      </c>
      <c r="N480" s="253">
        <v>13.94336929076138</v>
      </c>
      <c r="O480" s="47">
        <v>15.631842851848907</v>
      </c>
      <c r="P480" s="46">
        <v>0.60313171198781867</v>
      </c>
      <c r="R480" s="194"/>
      <c r="T480" s="87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</row>
    <row r="481" spans="1:31">
      <c r="A481" s="59"/>
      <c r="B481" s="280" t="s">
        <v>1</v>
      </c>
      <c r="C481" s="56"/>
      <c r="D481" s="56"/>
      <c r="E481" s="280"/>
      <c r="F481" s="56" t="s">
        <v>135</v>
      </c>
      <c r="G481" s="56" t="s">
        <v>135</v>
      </c>
      <c r="H481" s="56" t="s">
        <v>135</v>
      </c>
      <c r="I481" s="56" t="s">
        <v>135</v>
      </c>
      <c r="J481" s="15" t="s">
        <v>135</v>
      </c>
      <c r="K481" s="56" t="s">
        <v>135</v>
      </c>
      <c r="L481" s="56" t="s">
        <v>135</v>
      </c>
      <c r="M481" s="15" t="s">
        <v>135</v>
      </c>
      <c r="N481" s="245"/>
      <c r="O481" s="56" t="s">
        <v>135</v>
      </c>
      <c r="P481" s="56" t="s">
        <v>135</v>
      </c>
      <c r="R481" s="195"/>
      <c r="T481" s="87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</row>
    <row r="482" spans="1:31">
      <c r="A482" s="59"/>
      <c r="B482" s="276" t="s">
        <v>478</v>
      </c>
      <c r="C482" s="71"/>
      <c r="D482" s="71"/>
      <c r="E482" s="276"/>
      <c r="F482" s="48">
        <v>5.7029724139697242</v>
      </c>
      <c r="G482" s="49">
        <v>0.70890486225480864</v>
      </c>
      <c r="H482" s="49">
        <v>0.91203420696901993</v>
      </c>
      <c r="I482" s="48">
        <v>18.240684139380399</v>
      </c>
      <c r="J482" s="50">
        <v>22.671552134799722</v>
      </c>
      <c r="K482" s="50">
        <v>35.868365462794408</v>
      </c>
      <c r="L482" s="49">
        <v>0.31058463913828921</v>
      </c>
      <c r="M482" s="50">
        <v>12.423385565531568</v>
      </c>
      <c r="N482" s="254">
        <v>14.011430578429508</v>
      </c>
      <c r="O482" s="50">
        <v>20.931290671513043</v>
      </c>
      <c r="P482" s="49">
        <v>0.75393368526297777</v>
      </c>
      <c r="R482" s="196"/>
    </row>
    <row r="483" spans="1:31">
      <c r="A483" s="59"/>
      <c r="B483" s="280" t="s">
        <v>31</v>
      </c>
      <c r="C483" s="56"/>
      <c r="D483" s="56"/>
      <c r="E483" s="280"/>
      <c r="F483" s="48">
        <v>6.806574643267651</v>
      </c>
      <c r="G483" s="49">
        <v>0.84082300164692447</v>
      </c>
      <c r="H483" s="48">
        <v>1.0645675899569738</v>
      </c>
      <c r="I483" s="48">
        <v>21.291351799139473</v>
      </c>
      <c r="J483" s="50">
        <v>26.658212072464675</v>
      </c>
      <c r="K483" s="50">
        <v>35.5823255018067</v>
      </c>
      <c r="L483" s="49">
        <v>0.36057136236306769</v>
      </c>
      <c r="M483" s="50">
        <v>14.422854494522708</v>
      </c>
      <c r="N483" s="254">
        <v>16.437637031291565</v>
      </c>
      <c r="O483" s="50">
        <v>20.70824638359873</v>
      </c>
      <c r="P483" s="49">
        <v>0.88564096099122869</v>
      </c>
      <c r="R483" s="196"/>
    </row>
    <row r="484" spans="1:31">
      <c r="A484" s="59"/>
      <c r="B484" s="280" t="s">
        <v>32</v>
      </c>
      <c r="C484" s="56"/>
      <c r="D484" s="56"/>
      <c r="E484" s="280"/>
      <c r="F484" s="48">
        <v>7.8978461214002351</v>
      </c>
      <c r="G484" s="49">
        <v>0.96945353001942491</v>
      </c>
      <c r="H484" s="48">
        <v>1.2076174591843392</v>
      </c>
      <c r="I484" s="48">
        <v>24.152349183686784</v>
      </c>
      <c r="J484" s="50">
        <v>30.466668457501942</v>
      </c>
      <c r="K484" s="50">
        <v>35.29402536214392</v>
      </c>
      <c r="L484" s="49">
        <v>0.40682999257138291</v>
      </c>
      <c r="M484" s="50">
        <v>16.273199702855315</v>
      </c>
      <c r="N484" s="254">
        <v>18.742830207016315</v>
      </c>
      <c r="O484" s="50">
        <v>20.48533088522516</v>
      </c>
      <c r="P484" s="48">
        <v>1.01097769361316</v>
      </c>
      <c r="R484" s="196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</row>
    <row r="485" spans="1:31">
      <c r="A485" s="59"/>
      <c r="B485" s="280" t="s">
        <v>33</v>
      </c>
      <c r="C485" s="56"/>
      <c r="D485" s="56"/>
      <c r="E485" s="280"/>
      <c r="F485" s="48">
        <v>8.97678684836748</v>
      </c>
      <c r="G485" s="48">
        <v>1.09479644737231</v>
      </c>
      <c r="H485" s="48">
        <v>1.341383528778868</v>
      </c>
      <c r="I485" s="48">
        <v>26.827670575577358</v>
      </c>
      <c r="J485" s="50">
        <v>34.098784122970365</v>
      </c>
      <c r="K485" s="50">
        <v>35.003364857103719</v>
      </c>
      <c r="L485" s="49">
        <v>0.44949210223804387</v>
      </c>
      <c r="M485" s="50">
        <v>17.979684089521754</v>
      </c>
      <c r="N485" s="254">
        <v>20.928872938662604</v>
      </c>
      <c r="O485" s="50">
        <v>20.262561358505948</v>
      </c>
      <c r="P485" s="48">
        <v>1.1299392309754155</v>
      </c>
      <c r="R485" s="19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</row>
    <row r="486" spans="1:31">
      <c r="A486" s="59"/>
      <c r="B486" s="280" t="s">
        <v>34</v>
      </c>
      <c r="C486" s="56"/>
      <c r="D486" s="56"/>
      <c r="E486" s="280"/>
      <c r="F486" s="48">
        <v>10.043396824169388</v>
      </c>
      <c r="G486" s="48">
        <v>1.2168517537055801</v>
      </c>
      <c r="H486" s="48">
        <v>1.4660637329947519</v>
      </c>
      <c r="I486" s="48">
        <v>29.321274659895039</v>
      </c>
      <c r="J486" s="50">
        <v>37.556421901928779</v>
      </c>
      <c r="K486" s="50">
        <v>34.710237801457367</v>
      </c>
      <c r="L486" s="49">
        <v>0.48868748396430078</v>
      </c>
      <c r="M486" s="50">
        <v>19.547499358572033</v>
      </c>
      <c r="N486" s="254">
        <v>22.997628059289276</v>
      </c>
      <c r="O486" s="50">
        <v>20.039956382466293</v>
      </c>
      <c r="P486" s="48">
        <v>1.2425213358113378</v>
      </c>
      <c r="R486" s="197"/>
      <c r="T486" s="87"/>
      <c r="U486" s="87"/>
      <c r="V486" s="88"/>
      <c r="W486" s="88"/>
      <c r="X486" s="87"/>
      <c r="Y486" s="87"/>
      <c r="Z486" s="87"/>
      <c r="AA486" s="88"/>
      <c r="AB486" s="87"/>
      <c r="AC486" s="87"/>
      <c r="AD486" s="87"/>
      <c r="AE486" s="88"/>
    </row>
    <row r="487" spans="1:31">
      <c r="A487" s="59"/>
      <c r="B487" s="280" t="s">
        <v>372</v>
      </c>
      <c r="C487" s="56"/>
      <c r="D487" s="56"/>
      <c r="E487" s="280"/>
      <c r="F487" s="48">
        <v>11.097676048805935</v>
      </c>
      <c r="G487" s="48">
        <v>1.3356194490192346</v>
      </c>
      <c r="H487" s="48">
        <v>1.5818542262126261</v>
      </c>
      <c r="I487" s="48">
        <v>31.637084524252522</v>
      </c>
      <c r="J487" s="50">
        <v>40.84144462743604</v>
      </c>
      <c r="K487" s="50">
        <v>34.414531548613489</v>
      </c>
      <c r="L487" s="49">
        <v>0.52454415047784542</v>
      </c>
      <c r="M487" s="50">
        <v>20.981766019113817</v>
      </c>
      <c r="N487" s="254">
        <v>24.950958401955187</v>
      </c>
      <c r="O487" s="50">
        <v>19.817536049662838</v>
      </c>
      <c r="P487" s="48">
        <v>1.3487204622977123</v>
      </c>
      <c r="R487" s="197"/>
      <c r="T487" s="87"/>
      <c r="U487" s="87"/>
      <c r="V487" s="88"/>
      <c r="W487" s="88"/>
      <c r="X487" s="87"/>
      <c r="Y487" s="87"/>
      <c r="Z487" s="87"/>
      <c r="AA487" s="88"/>
      <c r="AB487" s="87"/>
      <c r="AC487" s="87"/>
      <c r="AD487" s="87"/>
      <c r="AE487" s="88"/>
    </row>
    <row r="488" spans="1:31">
      <c r="A488" s="59"/>
      <c r="B488" s="280" t="s">
        <v>373</v>
      </c>
      <c r="C488" s="56"/>
      <c r="D488" s="56"/>
      <c r="E488" s="280"/>
      <c r="F488" s="231">
        <v>13.169242244583048</v>
      </c>
      <c r="G488" s="231">
        <v>1.5632920065876976</v>
      </c>
      <c r="H488" s="231">
        <v>1.7875417978090815</v>
      </c>
      <c r="I488" s="231">
        <v>35.750835956181632</v>
      </c>
      <c r="J488" s="232">
        <v>46.901096250332515</v>
      </c>
      <c r="K488" s="232">
        <v>33.814895464614771</v>
      </c>
      <c r="L488" s="233">
        <v>0.58674448940976731</v>
      </c>
      <c r="M488" s="232">
        <v>23.469779576390692</v>
      </c>
      <c r="N488" s="255">
        <v>28.518796085640069</v>
      </c>
      <c r="O488" s="232">
        <v>19.373338026325001</v>
      </c>
      <c r="P488" s="231">
        <v>1.54196086004988</v>
      </c>
      <c r="R488" s="197"/>
      <c r="T488" s="87"/>
      <c r="U488" s="87"/>
      <c r="V488" s="88"/>
      <c r="W488" s="88"/>
      <c r="X488" s="87"/>
      <c r="Y488" s="87"/>
      <c r="Z488" s="87"/>
      <c r="AA488" s="88"/>
      <c r="AB488" s="87"/>
      <c r="AC488" s="87"/>
      <c r="AD488" s="87"/>
      <c r="AE488" s="88"/>
    </row>
    <row r="489" spans="1:31">
      <c r="A489" s="59"/>
      <c r="B489" s="280" t="s">
        <v>1</v>
      </c>
      <c r="C489" s="56"/>
      <c r="D489" s="56"/>
      <c r="E489" s="280"/>
      <c r="F489" s="56" t="s">
        <v>135</v>
      </c>
      <c r="G489" s="7" t="s">
        <v>135</v>
      </c>
      <c r="H489" s="7" t="s">
        <v>135</v>
      </c>
      <c r="I489" s="56" t="s">
        <v>135</v>
      </c>
      <c r="J489" s="15" t="s">
        <v>135</v>
      </c>
      <c r="K489" s="56" t="s">
        <v>135</v>
      </c>
      <c r="L489" s="56" t="s">
        <v>135</v>
      </c>
      <c r="M489" s="15" t="s">
        <v>135</v>
      </c>
      <c r="N489" s="245"/>
      <c r="O489" s="56" t="s">
        <v>135</v>
      </c>
      <c r="P489" s="7" t="s">
        <v>135</v>
      </c>
      <c r="R489" s="197"/>
      <c r="T489" s="87"/>
      <c r="U489" s="87"/>
      <c r="V489" s="88"/>
      <c r="W489" s="88"/>
      <c r="X489" s="87"/>
      <c r="Y489" s="89"/>
      <c r="Z489" s="87"/>
      <c r="AA489" s="88"/>
      <c r="AB489" s="87"/>
      <c r="AC489" s="87"/>
      <c r="AD489" s="87"/>
      <c r="AE489" s="88"/>
    </row>
    <row r="490" spans="1:31">
      <c r="A490" s="59"/>
      <c r="B490" s="276" t="s">
        <v>479</v>
      </c>
      <c r="C490" s="71"/>
      <c r="D490" s="71"/>
      <c r="E490" s="276"/>
      <c r="F490" s="234">
        <v>8.2344756282140175</v>
      </c>
      <c r="G490" s="234">
        <v>1.0208230016469244</v>
      </c>
      <c r="H490" s="234">
        <v>1.8911941315709595</v>
      </c>
      <c r="I490" s="234">
        <v>31.519902192849326</v>
      </c>
      <c r="J490" s="235">
        <v>39.176442088933911</v>
      </c>
      <c r="K490" s="235">
        <v>43.042038555353294</v>
      </c>
      <c r="L490" s="236">
        <v>0.64402830771715647</v>
      </c>
      <c r="M490" s="235">
        <v>21.467610257238551</v>
      </c>
      <c r="N490" s="256">
        <v>24.211752039526182</v>
      </c>
      <c r="O490" s="235">
        <v>25.117548805815652</v>
      </c>
      <c r="P490" s="234">
        <v>1.5633568897613104</v>
      </c>
      <c r="R490" s="197"/>
      <c r="T490" s="87"/>
      <c r="U490" s="87"/>
      <c r="V490" s="88"/>
      <c r="W490" s="88"/>
      <c r="X490" s="87"/>
      <c r="Y490" s="89"/>
      <c r="Z490" s="87"/>
      <c r="AA490" s="88"/>
      <c r="AB490" s="87"/>
      <c r="AC490" s="87"/>
      <c r="AD490" s="87"/>
      <c r="AE490" s="88"/>
    </row>
    <row r="491" spans="1:31">
      <c r="A491" s="59"/>
      <c r="B491" s="280" t="s">
        <v>35</v>
      </c>
      <c r="C491" s="56"/>
      <c r="D491" s="56"/>
      <c r="E491" s="280"/>
      <c r="F491" s="234">
        <v>9.5637306038376604</v>
      </c>
      <c r="G491" s="234">
        <v>1.1794535300194249</v>
      </c>
      <c r="H491" s="234">
        <v>2.1561486813363202</v>
      </c>
      <c r="I491" s="234">
        <v>35.935811355605338</v>
      </c>
      <c r="J491" s="235">
        <v>44.938703757696182</v>
      </c>
      <c r="K491" s="235">
        <v>42.756183796266448</v>
      </c>
      <c r="L491" s="236">
        <v>0.7309496328920313</v>
      </c>
      <c r="M491" s="235">
        <v>24.36498776306771</v>
      </c>
      <c r="N491" s="256">
        <v>27.720097857113434</v>
      </c>
      <c r="O491" s="235">
        <v>24.894494318966412</v>
      </c>
      <c r="P491" s="234">
        <v>1.7918641523753525</v>
      </c>
      <c r="R491" s="197"/>
      <c r="T491" s="87"/>
      <c r="U491" s="87"/>
      <c r="V491" s="88"/>
      <c r="W491" s="88"/>
      <c r="X491" s="87"/>
      <c r="Y491" s="89"/>
      <c r="Z491" s="87"/>
      <c r="AA491" s="88"/>
      <c r="AB491" s="87"/>
      <c r="AC491" s="89"/>
      <c r="AD491" s="87"/>
      <c r="AE491" s="88"/>
    </row>
    <row r="492" spans="1:31">
      <c r="A492" s="59"/>
      <c r="B492" s="280" t="s">
        <v>374</v>
      </c>
      <c r="C492" s="56"/>
      <c r="D492" s="56"/>
      <c r="E492" s="280"/>
      <c r="F492" s="235">
        <v>10.880654828295976</v>
      </c>
      <c r="G492" s="234">
        <v>1.33479644737231</v>
      </c>
      <c r="H492" s="234">
        <v>2.4073988559755053</v>
      </c>
      <c r="I492" s="234">
        <v>40.123314266258419</v>
      </c>
      <c r="J492" s="235">
        <v>50.486748596693467</v>
      </c>
      <c r="K492" s="235">
        <v>42.46845912578717</v>
      </c>
      <c r="L492" s="236">
        <v>0.81247074280897735</v>
      </c>
      <c r="M492" s="235">
        <v>27.082358093632578</v>
      </c>
      <c r="N492" s="256">
        <v>31.082855175524159</v>
      </c>
      <c r="O492" s="235">
        <v>24.671544850143334</v>
      </c>
      <c r="P492" s="234">
        <v>2.0111989769075791</v>
      </c>
      <c r="R492" s="198"/>
    </row>
    <row r="493" spans="1:31">
      <c r="A493" s="59"/>
      <c r="B493" s="280" t="s">
        <v>36</v>
      </c>
      <c r="C493" s="56"/>
      <c r="D493" s="56"/>
      <c r="E493" s="280"/>
      <c r="F493" s="235">
        <v>12.185248301588938</v>
      </c>
      <c r="G493" s="234">
        <v>1.4868517537055801</v>
      </c>
      <c r="H493" s="234">
        <v>2.6451848464038865</v>
      </c>
      <c r="I493" s="234">
        <v>44.086414106731446</v>
      </c>
      <c r="J493" s="235">
        <v>55.822439438984581</v>
      </c>
      <c r="K493" s="235">
        <v>42.178795975276643</v>
      </c>
      <c r="L493" s="236">
        <v>0.88875005839983334</v>
      </c>
      <c r="M493" s="235">
        <v>29.625001946661111</v>
      </c>
      <c r="N493" s="256">
        <v>34.301886827817171</v>
      </c>
      <c r="O493" s="235">
        <v>24.448712097932713</v>
      </c>
      <c r="P493" s="234">
        <v>2.2213556938577215</v>
      </c>
      <c r="R493" s="195"/>
    </row>
    <row r="494" spans="1:31">
      <c r="A494" s="59"/>
      <c r="B494" s="280" t="s">
        <v>375</v>
      </c>
      <c r="C494" s="56"/>
      <c r="D494" s="56"/>
      <c r="E494" s="280"/>
      <c r="F494" s="235">
        <v>13.477511023716543</v>
      </c>
      <c r="G494" s="234">
        <v>1.6356194490192344</v>
      </c>
      <c r="H494" s="234">
        <v>2.8697450636632706</v>
      </c>
      <c r="I494" s="234">
        <v>47.829084394387841</v>
      </c>
      <c r="J494" s="235">
        <v>60.947639117628377</v>
      </c>
      <c r="K494" s="235">
        <v>41.887122389887928</v>
      </c>
      <c r="L494" s="236">
        <v>0.95994422072287833</v>
      </c>
      <c r="M494" s="235">
        <v>31.998140690762611</v>
      </c>
      <c r="N494" s="256">
        <v>37.379055647051352</v>
      </c>
      <c r="O494" s="235">
        <v>24.226008547810753</v>
      </c>
      <c r="P494" s="234">
        <v>2.4223289597890783</v>
      </c>
      <c r="R494" s="199"/>
    </row>
    <row r="495" spans="1:31">
      <c r="A495" s="59"/>
      <c r="B495" s="280" t="s">
        <v>37</v>
      </c>
      <c r="C495" s="56"/>
      <c r="D495" s="56"/>
      <c r="E495" s="280"/>
      <c r="F495" s="235">
        <v>16.025044214475781</v>
      </c>
      <c r="G495" s="234">
        <v>1.9232920065876977</v>
      </c>
      <c r="H495" s="234">
        <v>3.2801329234745018</v>
      </c>
      <c r="I495" s="234">
        <v>54.668882057908363</v>
      </c>
      <c r="J495" s="235">
        <v>70.574016316209494</v>
      </c>
      <c r="K495" s="235">
        <v>41.297437858336188</v>
      </c>
      <c r="L495" s="236">
        <v>1.0876947504308605</v>
      </c>
      <c r="M495" s="235">
        <v>36.256491681028685</v>
      </c>
      <c r="N495" s="256">
        <v>43.11525611857855</v>
      </c>
      <c r="O495" s="235">
        <v>23.781043259595407</v>
      </c>
      <c r="P495" s="234">
        <v>2.7967067506205359</v>
      </c>
      <c r="R495" s="199"/>
    </row>
    <row r="496" spans="1:31" ht="15">
      <c r="A496" s="59"/>
      <c r="B496" s="280" t="s">
        <v>1</v>
      </c>
      <c r="C496" s="56"/>
      <c r="D496" s="56"/>
      <c r="E496" s="280"/>
      <c r="F496" s="189"/>
      <c r="G496" s="189"/>
      <c r="H496" s="189"/>
      <c r="I496" s="189"/>
      <c r="J496" s="189"/>
      <c r="K496" s="189"/>
      <c r="L496" s="189"/>
      <c r="M496" s="189"/>
      <c r="N496" s="244"/>
      <c r="O496" s="189"/>
      <c r="P496" s="189"/>
      <c r="R496" s="199"/>
    </row>
    <row r="497" spans="1:53">
      <c r="A497" s="58"/>
      <c r="B497" s="276" t="s">
        <v>423</v>
      </c>
      <c r="C497" s="71"/>
      <c r="D497" s="71"/>
      <c r="E497" s="276"/>
      <c r="F497" s="68">
        <v>11.54</v>
      </c>
      <c r="G497" s="67">
        <v>1.4330973355292327</v>
      </c>
      <c r="H497" s="67">
        <v>4.5627152215470632</v>
      </c>
      <c r="I497" s="68">
        <v>60.836202953960843</v>
      </c>
      <c r="J497" s="68">
        <v>72.897570148223195</v>
      </c>
      <c r="K497" s="68">
        <v>56.425294888330363</v>
      </c>
      <c r="L497" s="67">
        <v>2.4569225488416726</v>
      </c>
      <c r="M497" s="68">
        <v>49.138450976833454</v>
      </c>
      <c r="N497" s="245">
        <v>55.370136759992398</v>
      </c>
      <c r="O497" s="68">
        <v>41.405486212570388</v>
      </c>
      <c r="P497" s="67">
        <v>5.0896448269790993</v>
      </c>
      <c r="R497" s="137"/>
      <c r="S497" s="87"/>
      <c r="T497" s="237"/>
      <c r="U497" s="238"/>
      <c r="V497" s="238"/>
      <c r="W497" s="200"/>
      <c r="X497" s="200"/>
      <c r="Y497" s="238"/>
      <c r="Z497" s="200"/>
      <c r="AA497" s="200"/>
      <c r="AB497" s="200"/>
      <c r="AC497" s="238"/>
    </row>
    <row r="498" spans="1:53">
      <c r="A498" s="58"/>
      <c r="B498" s="276" t="s">
        <v>424</v>
      </c>
      <c r="C498" s="71"/>
      <c r="D498" s="71"/>
      <c r="E498" s="276"/>
      <c r="F498" s="68">
        <v>13.42</v>
      </c>
      <c r="G498" s="67">
        <v>1.6589380400259</v>
      </c>
      <c r="H498" s="67">
        <v>5.2285932221556033</v>
      </c>
      <c r="I498" s="68">
        <v>69.714576295408037</v>
      </c>
      <c r="J498" s="68">
        <v>83.923999318382513</v>
      </c>
      <c r="K498" s="68">
        <v>56.140638144290463</v>
      </c>
      <c r="L498" s="67">
        <v>2.8114920312526612</v>
      </c>
      <c r="M498" s="68">
        <v>56.229840625053221</v>
      </c>
      <c r="N498" s="245">
        <v>63.713048317735051</v>
      </c>
      <c r="O498" s="68">
        <v>41.167391121193369</v>
      </c>
      <c r="P498" s="67">
        <v>5.8750112267300674</v>
      </c>
      <c r="R498" s="137"/>
      <c r="S498" s="87"/>
      <c r="T498" s="237"/>
      <c r="U498" s="238"/>
      <c r="V498" s="238"/>
      <c r="W498" s="200"/>
      <c r="X498" s="200"/>
      <c r="Y498" s="238"/>
      <c r="Z498" s="200"/>
      <c r="AA498" s="200"/>
      <c r="AB498" s="200"/>
      <c r="AC498" s="238"/>
    </row>
    <row r="499" spans="1:53">
      <c r="A499" s="58"/>
      <c r="B499" s="276" t="s">
        <v>425</v>
      </c>
      <c r="C499" s="71"/>
      <c r="D499" s="71"/>
      <c r="E499" s="276"/>
      <c r="F499" s="68">
        <v>15.29</v>
      </c>
      <c r="G499" s="67">
        <v>1.8810619298297468</v>
      </c>
      <c r="H499" s="67">
        <v>5.8682960924782233</v>
      </c>
      <c r="I499" s="68">
        <v>78.243947899709639</v>
      </c>
      <c r="J499" s="68">
        <v>94.634358772266893</v>
      </c>
      <c r="K499" s="68">
        <v>55.854023359346073</v>
      </c>
      <c r="L499" s="67">
        <v>3.1510418600084749</v>
      </c>
      <c r="M499" s="68">
        <v>63.020837200169495</v>
      </c>
      <c r="N499" s="245">
        <v>71.807810526523227</v>
      </c>
      <c r="O499" s="68">
        <v>40.928472759753788</v>
      </c>
      <c r="P499" s="67">
        <v>6.6415630712689833</v>
      </c>
      <c r="R499" s="137"/>
      <c r="S499" s="87"/>
      <c r="T499" s="237"/>
      <c r="U499" s="238"/>
      <c r="V499" s="238"/>
      <c r="W499" s="200"/>
      <c r="X499" s="200"/>
      <c r="Y499" s="238"/>
      <c r="Z499" s="200"/>
      <c r="AA499" s="200"/>
      <c r="AB499" s="200"/>
      <c r="AC499" s="238"/>
    </row>
    <row r="500" spans="1:53">
      <c r="A500" s="58"/>
      <c r="B500" s="276" t="s">
        <v>426</v>
      </c>
      <c r="C500" s="71"/>
      <c r="D500" s="71"/>
      <c r="E500" s="276"/>
      <c r="F500" s="68">
        <v>17.149999999999999</v>
      </c>
      <c r="G500" s="67">
        <v>2.0994690049407732</v>
      </c>
      <c r="H500" s="67">
        <v>6.4821391535109703</v>
      </c>
      <c r="I500" s="68">
        <v>86.428522046812944</v>
      </c>
      <c r="J500" s="72">
        <v>105.03046156497425</v>
      </c>
      <c r="K500" s="68">
        <v>55.56539951131802</v>
      </c>
      <c r="L500" s="67">
        <v>3.4758217033502374</v>
      </c>
      <c r="M500" s="68">
        <v>69.516434067004752</v>
      </c>
      <c r="N500" s="245">
        <v>79.656236441454965</v>
      </c>
      <c r="O500" s="68">
        <v>40.68871847741589</v>
      </c>
      <c r="P500" s="67">
        <v>7.3889842612470087</v>
      </c>
      <c r="R500" s="137"/>
      <c r="S500" s="87"/>
      <c r="T500" s="237"/>
      <c r="U500" s="238"/>
      <c r="V500" s="238"/>
      <c r="W500" s="239"/>
      <c r="X500" s="200"/>
      <c r="Y500" s="238"/>
      <c r="Z500" s="200"/>
      <c r="AA500" s="200"/>
      <c r="AB500" s="200"/>
      <c r="AC500" s="238"/>
    </row>
    <row r="501" spans="1:53">
      <c r="A501" s="58"/>
      <c r="B501" s="276" t="s">
        <v>427</v>
      </c>
      <c r="C501" s="71"/>
      <c r="D501" s="71"/>
      <c r="E501" s="276"/>
      <c r="F501" s="68">
        <v>18.989999999999998</v>
      </c>
      <c r="G501" s="67">
        <v>2.3141592653589793</v>
      </c>
      <c r="H501" s="67">
        <v>7.0704368412807117</v>
      </c>
      <c r="I501" s="68">
        <v>94.272491217076151</v>
      </c>
      <c r="J501" s="72">
        <v>115.11412075160287</v>
      </c>
      <c r="K501" s="68">
        <v>55.274713627785324</v>
      </c>
      <c r="L501" s="67">
        <v>3.786080344549926</v>
      </c>
      <c r="M501" s="68">
        <v>75.721606890998515</v>
      </c>
      <c r="N501" s="245">
        <v>87.26013911762837</v>
      </c>
      <c r="O501" s="68">
        <v>40.448115331916867</v>
      </c>
      <c r="P501" s="67">
        <v>8.1169590167344268</v>
      </c>
      <c r="R501" s="137"/>
      <c r="S501" s="87"/>
      <c r="T501" s="237"/>
      <c r="U501" s="238"/>
      <c r="V501" s="238"/>
      <c r="W501" s="239"/>
      <c r="X501" s="200"/>
      <c r="Y501" s="238"/>
      <c r="Z501" s="200"/>
      <c r="AA501" s="200"/>
      <c r="AB501" s="200"/>
      <c r="AC501" s="238"/>
    </row>
    <row r="502" spans="1:53">
      <c r="A502" s="58"/>
      <c r="B502" s="276" t="s">
        <v>428</v>
      </c>
      <c r="C502" s="71"/>
      <c r="D502" s="71"/>
      <c r="E502" s="276"/>
      <c r="F502" s="68">
        <v>22.64</v>
      </c>
      <c r="G502" s="67">
        <v>2.7323893421169299</v>
      </c>
      <c r="H502" s="67">
        <v>8.1716494162928921</v>
      </c>
      <c r="I502" s="68">
        <v>108.9553255505719</v>
      </c>
      <c r="J502" s="72">
        <v>134.35136052701574</v>
      </c>
      <c r="K502" s="68">
        <v>54.686933518926175</v>
      </c>
      <c r="L502" s="67">
        <v>4.3640247287651839</v>
      </c>
      <c r="M502" s="68">
        <v>87.280494575303678</v>
      </c>
      <c r="N502" s="251">
        <v>101.74162697409258</v>
      </c>
      <c r="O502" s="68">
        <v>39.964309171118323</v>
      </c>
      <c r="P502" s="67">
        <v>9.5133098603570687</v>
      </c>
      <c r="R502" s="137"/>
      <c r="S502" s="87"/>
      <c r="T502" s="237"/>
      <c r="U502" s="238"/>
      <c r="V502" s="238"/>
      <c r="W502" s="239"/>
      <c r="X502" s="200"/>
      <c r="Y502" s="238"/>
      <c r="Z502" s="200"/>
      <c r="AA502" s="200"/>
      <c r="AB502" s="200"/>
      <c r="AC502" s="238"/>
    </row>
    <row r="503" spans="1:53">
      <c r="A503" s="58"/>
      <c r="B503" s="280"/>
      <c r="C503" s="56"/>
      <c r="D503" s="56"/>
      <c r="E503" s="280"/>
      <c r="F503" s="56"/>
      <c r="G503" s="7"/>
      <c r="H503" s="7"/>
      <c r="I503" s="56"/>
      <c r="J503" s="15"/>
      <c r="K503" s="56"/>
      <c r="L503" s="56"/>
      <c r="M503" s="56"/>
      <c r="N503" s="249"/>
      <c r="O503" s="56"/>
      <c r="P503" s="7"/>
      <c r="R503" s="200"/>
    </row>
    <row r="504" spans="1:53">
      <c r="A504" s="6"/>
      <c r="B504" s="276" t="s">
        <v>480</v>
      </c>
      <c r="C504" s="71"/>
      <c r="D504" s="71"/>
      <c r="E504" s="276"/>
      <c r="F504" s="53">
        <v>11.053285344610725</v>
      </c>
      <c r="G504" s="51">
        <v>1.3808230016469245</v>
      </c>
      <c r="H504" s="51">
        <v>4.6381410157870846</v>
      </c>
      <c r="I504" s="53">
        <v>57.976762697338565</v>
      </c>
      <c r="J504" s="53">
        <v>71.41290212187242</v>
      </c>
      <c r="K504" s="53">
        <v>57.956609076240504</v>
      </c>
      <c r="L504" s="51">
        <v>1.5902656486723721</v>
      </c>
      <c r="M504" s="53">
        <v>39.7566412168093</v>
      </c>
      <c r="N504" s="243">
        <v>44.259982055995437</v>
      </c>
      <c r="O504" s="53">
        <v>33.93640487313948</v>
      </c>
      <c r="P504" s="51">
        <v>3.8033708595477158</v>
      </c>
      <c r="R504" s="200"/>
      <c r="S504" s="211"/>
      <c r="T504" s="211"/>
      <c r="U504" s="211"/>
      <c r="V504" s="211"/>
      <c r="W504" s="211"/>
      <c r="X504" s="211"/>
      <c r="Y504" s="211"/>
      <c r="Z504" s="211"/>
      <c r="AA504" s="211"/>
      <c r="AB504" s="211"/>
      <c r="AC504" s="211"/>
    </row>
    <row r="505" spans="1:53">
      <c r="A505" s="6"/>
      <c r="B505" s="276" t="s">
        <v>481</v>
      </c>
      <c r="C505" s="71"/>
      <c r="D505" s="71"/>
      <c r="E505" s="276"/>
      <c r="F505" s="53">
        <v>12.852341939633833</v>
      </c>
      <c r="G505" s="51">
        <v>1.599453530019425</v>
      </c>
      <c r="H505" s="51">
        <v>5.3201832436519352</v>
      </c>
      <c r="I505" s="53">
        <v>66.502290545649188</v>
      </c>
      <c r="J505" s="53">
        <v>82.282774358084652</v>
      </c>
      <c r="K505" s="53">
        <v>57.673655921409363</v>
      </c>
      <c r="L505" s="51">
        <v>1.8179069430362425</v>
      </c>
      <c r="M505" s="53">
        <v>45.447673575906059</v>
      </c>
      <c r="N505" s="243">
        <v>50.924633157307674</v>
      </c>
      <c r="O505" s="53">
        <v>33.713202624341115</v>
      </c>
      <c r="P505" s="51">
        <v>4.3803196414699208</v>
      </c>
      <c r="R505" s="200"/>
      <c r="S505" s="211"/>
      <c r="T505" s="211"/>
      <c r="U505" s="211"/>
      <c r="V505" s="211"/>
      <c r="W505" s="211"/>
      <c r="X505" s="211"/>
      <c r="Y505" s="211"/>
      <c r="Z505" s="211"/>
      <c r="AA505" s="211"/>
      <c r="AB505" s="211"/>
      <c r="AC505" s="211"/>
    </row>
    <row r="506" spans="1:53" ht="15">
      <c r="A506" s="59"/>
      <c r="B506" s="276" t="s">
        <v>482</v>
      </c>
      <c r="C506" s="71"/>
      <c r="D506" s="71"/>
      <c r="E506" s="276"/>
      <c r="F506" s="53">
        <v>14.639067783491589</v>
      </c>
      <c r="G506" s="51">
        <v>1.8147964473723099</v>
      </c>
      <c r="H506" s="51">
        <v>5.9771073787921658</v>
      </c>
      <c r="I506" s="53">
        <v>74.713842234902074</v>
      </c>
      <c r="J506" s="53">
        <v>92.862677544139629</v>
      </c>
      <c r="K506" s="53">
        <v>57.389384740471051</v>
      </c>
      <c r="L506" s="51">
        <v>2.0354474910566913</v>
      </c>
      <c r="M506" s="53">
        <v>50.886187276417282</v>
      </c>
      <c r="N506" s="243">
        <v>57.390819649247256</v>
      </c>
      <c r="O506" s="53">
        <v>33.490065074420862</v>
      </c>
      <c r="P506" s="51">
        <v>4.9409797997394502</v>
      </c>
      <c r="R506" s="200"/>
      <c r="S506" s="211"/>
      <c r="T506" s="211"/>
      <c r="U506" s="211"/>
      <c r="V506" s="211"/>
      <c r="W506" s="211"/>
      <c r="X506" s="211"/>
      <c r="Y506" s="211"/>
      <c r="Z506" s="211"/>
      <c r="AA506" s="211"/>
      <c r="AB506" s="211"/>
      <c r="AC506" s="211"/>
      <c r="AI506" s="60"/>
      <c r="AJ506" s="63"/>
      <c r="AK506" s="60"/>
      <c r="AL506" s="60"/>
      <c r="AM506" s="60"/>
      <c r="AN506" s="60"/>
      <c r="AO506" s="60"/>
      <c r="AP506" s="60"/>
      <c r="AQ506" s="63"/>
      <c r="AR506" s="61"/>
      <c r="AS506" s="60"/>
      <c r="AT506" s="60"/>
      <c r="AU506" s="64"/>
      <c r="AV506" s="60"/>
      <c r="AW506" s="60"/>
      <c r="AX506" s="60"/>
      <c r="AY506" s="317"/>
      <c r="AZ506" s="318"/>
      <c r="BA506" s="318"/>
    </row>
    <row r="507" spans="1:53" ht="15">
      <c r="A507" s="59"/>
      <c r="B507" s="280" t="s">
        <v>376</v>
      </c>
      <c r="C507" s="56"/>
      <c r="D507" s="56"/>
      <c r="E507" s="280"/>
      <c r="F507" s="53">
        <v>16.413462876183992</v>
      </c>
      <c r="G507" s="51">
        <v>2.0268517537055799</v>
      </c>
      <c r="H507" s="51">
        <v>6.6092381254455006</v>
      </c>
      <c r="I507" s="53">
        <v>82.615476568068758</v>
      </c>
      <c r="J507" s="81">
        <v>103.15447451309615</v>
      </c>
      <c r="K507" s="53">
        <v>57.103760244352969</v>
      </c>
      <c r="L507" s="51">
        <v>2.2431029703267349</v>
      </c>
      <c r="M507" s="53">
        <v>56.077574258168376</v>
      </c>
      <c r="N507" s="243">
        <v>63.660404364872974</v>
      </c>
      <c r="O507" s="53">
        <v>33.266998047547453</v>
      </c>
      <c r="P507" s="51">
        <v>5.4853436909805202</v>
      </c>
      <c r="R507" s="137"/>
      <c r="S507" s="211"/>
      <c r="T507" s="211"/>
      <c r="U507" s="211"/>
      <c r="V507" s="211"/>
      <c r="W507" s="211"/>
      <c r="X507" s="211"/>
      <c r="Y507" s="211"/>
      <c r="Z507" s="211"/>
      <c r="AA507" s="211"/>
      <c r="AB507" s="211"/>
      <c r="AC507" s="211"/>
      <c r="AI507" s="60"/>
      <c r="AJ507" s="63"/>
      <c r="AK507" s="60"/>
      <c r="AL507" s="60"/>
      <c r="AM507" s="60"/>
      <c r="AN507" s="60"/>
      <c r="AO507" s="60"/>
      <c r="AP507" s="60"/>
      <c r="AQ507" s="63"/>
      <c r="AR507" s="61"/>
      <c r="AS507" s="60"/>
      <c r="AT507" s="60"/>
      <c r="AU507" s="64"/>
      <c r="AV507" s="60"/>
      <c r="AW507" s="60"/>
      <c r="AX507" s="60"/>
      <c r="AY507" s="317"/>
      <c r="AZ507" s="318"/>
      <c r="BA507" s="318"/>
    </row>
    <row r="508" spans="1:53">
      <c r="A508" s="59"/>
      <c r="B508" s="280" t="s">
        <v>38</v>
      </c>
      <c r="C508" s="56"/>
      <c r="D508" s="56"/>
      <c r="E508" s="280"/>
      <c r="F508" s="53">
        <v>18.175527217711085</v>
      </c>
      <c r="G508" s="51">
        <v>2.2356194490192349</v>
      </c>
      <c r="H508" s="51">
        <v>7.2168984079760996</v>
      </c>
      <c r="I508" s="53">
        <v>90.21123009970124</v>
      </c>
      <c r="J508" s="81">
        <v>113.16002809801309</v>
      </c>
      <c r="K508" s="53">
        <v>56.81674587804627</v>
      </c>
      <c r="L508" s="51">
        <v>2.4410872785658291</v>
      </c>
      <c r="M508" s="53">
        <v>61.027181964145726</v>
      </c>
      <c r="N508" s="243">
        <v>69.735250137243696</v>
      </c>
      <c r="O508" s="53">
        <v>33.044007658631386</v>
      </c>
      <c r="P508" s="51">
        <v>6.0134035874986553</v>
      </c>
      <c r="R508" s="201"/>
      <c r="S508" s="211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  <c r="AI508" s="60"/>
      <c r="AJ508" s="63"/>
      <c r="AK508" s="60"/>
      <c r="AL508" s="60"/>
      <c r="AM508" s="60"/>
      <c r="AN508" s="60"/>
      <c r="AO508" s="60"/>
      <c r="AP508" s="60"/>
      <c r="AQ508" s="63"/>
      <c r="AR508" s="61"/>
      <c r="AS508" s="60"/>
      <c r="AT508" s="60"/>
      <c r="AU508" s="64"/>
      <c r="AV508" s="60"/>
      <c r="AW508" s="60"/>
      <c r="AX508" s="60"/>
      <c r="AY508" s="60"/>
      <c r="AZ508" s="63"/>
      <c r="BA508" s="63"/>
    </row>
    <row r="509" spans="1:53">
      <c r="A509" s="59"/>
      <c r="B509" s="280" t="s">
        <v>39</v>
      </c>
      <c r="C509" s="56"/>
      <c r="D509" s="56"/>
      <c r="E509" s="280"/>
      <c r="F509" s="53">
        <v>21.662663647269216</v>
      </c>
      <c r="G509" s="51">
        <v>2.6432920065876977</v>
      </c>
      <c r="H509" s="51">
        <v>8.3600903787579597</v>
      </c>
      <c r="I509" s="81">
        <v>104.50112973447449</v>
      </c>
      <c r="J509" s="81">
        <v>132.31985644796342</v>
      </c>
      <c r="K509" s="53">
        <v>56.238394633702178</v>
      </c>
      <c r="L509" s="51">
        <v>2.8088890734612018</v>
      </c>
      <c r="M509" s="53">
        <v>70.222226836530041</v>
      </c>
      <c r="N509" s="243">
        <v>81.308176184455533</v>
      </c>
      <c r="O509" s="53">
        <v>32.59828279724362</v>
      </c>
      <c r="P509" s="51">
        <v>7.0205809583651444</v>
      </c>
      <c r="R509" s="201"/>
      <c r="S509" s="211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  <c r="AI509" s="62"/>
      <c r="AJ509" s="62"/>
      <c r="AK509" s="60"/>
      <c r="AL509" s="60"/>
      <c r="AM509" s="60"/>
      <c r="AN509" s="60"/>
      <c r="AO509" s="60"/>
      <c r="AP509" s="60"/>
      <c r="AQ509" s="62"/>
      <c r="AR509" s="61"/>
      <c r="AS509" s="60"/>
      <c r="AT509" s="60"/>
      <c r="AU509" s="64"/>
      <c r="AV509" s="60"/>
      <c r="AW509" s="60"/>
      <c r="AX509" s="60"/>
      <c r="AY509" s="62"/>
      <c r="AZ509" s="60"/>
      <c r="BA509" s="62"/>
    </row>
    <row r="510" spans="1:53">
      <c r="A510" s="59"/>
      <c r="B510" s="280"/>
      <c r="C510" s="56"/>
      <c r="D510" s="56"/>
      <c r="E510" s="280"/>
      <c r="F510" s="53"/>
      <c r="G510" s="51"/>
      <c r="H510" s="52"/>
      <c r="I510" s="81"/>
      <c r="J510" s="81"/>
      <c r="K510" s="53"/>
      <c r="L510" s="51"/>
      <c r="M510" s="53"/>
      <c r="N510" s="243"/>
      <c r="O510" s="53"/>
      <c r="P510" s="51"/>
      <c r="R510" s="201"/>
    </row>
    <row r="511" spans="1:53">
      <c r="A511" s="59"/>
      <c r="B511" s="276" t="s">
        <v>483</v>
      </c>
      <c r="C511" s="71"/>
      <c r="D511" s="71"/>
      <c r="E511" s="276"/>
      <c r="F511" s="55">
        <v>18.397480738687232</v>
      </c>
      <c r="G511" s="54">
        <v>2.2947964473723101</v>
      </c>
      <c r="H511" s="55">
        <v>11.997053059506683</v>
      </c>
      <c r="I511" s="82">
        <v>119.97053059506683</v>
      </c>
      <c r="J511" s="82">
        <v>148.03860649158591</v>
      </c>
      <c r="K511" s="55">
        <v>72.304479712420914</v>
      </c>
      <c r="L511" s="54">
        <v>4.1077835287788682</v>
      </c>
      <c r="M511" s="55">
        <v>82.155670575577375</v>
      </c>
      <c r="N511" s="257">
        <v>91.698784122970338</v>
      </c>
      <c r="O511" s="55">
        <v>42.308895713537957</v>
      </c>
      <c r="P511" s="54">
        <v>9.8537708148733589</v>
      </c>
      <c r="R511" s="201"/>
    </row>
    <row r="512" spans="1:53">
      <c r="A512" s="59"/>
      <c r="B512" s="280" t="s">
        <v>40</v>
      </c>
      <c r="C512" s="56"/>
      <c r="D512" s="56"/>
      <c r="E512" s="280"/>
      <c r="F512" s="55">
        <v>20.641677450779078</v>
      </c>
      <c r="G512" s="54">
        <v>2.5668517537055799</v>
      </c>
      <c r="H512" s="55">
        <v>13.314372807451578</v>
      </c>
      <c r="I512" s="82">
        <v>133.14372807451579</v>
      </c>
      <c r="J512" s="82">
        <v>164.8865095872078</v>
      </c>
      <c r="K512" s="55">
        <v>72.021135298478796</v>
      </c>
      <c r="L512" s="54">
        <v>4.5464262329947518</v>
      </c>
      <c r="M512" s="55">
        <v>90.928524659895032</v>
      </c>
      <c r="N512" s="258">
        <v>102.01892190192875</v>
      </c>
      <c r="O512" s="55">
        <v>42.085712195181543</v>
      </c>
      <c r="P512" s="55">
        <v>10.971081555735864</v>
      </c>
      <c r="R512" s="201"/>
    </row>
    <row r="513" spans="1:34">
      <c r="A513" s="59"/>
      <c r="B513" s="280" t="s">
        <v>41</v>
      </c>
      <c r="C513" s="56"/>
      <c r="D513" s="56"/>
      <c r="E513" s="280"/>
      <c r="F513" s="55">
        <v>27.300283080062673</v>
      </c>
      <c r="G513" s="54">
        <v>3.3632920065876979</v>
      </c>
      <c r="H513" s="55">
        <v>17.03308143931158</v>
      </c>
      <c r="I513" s="82">
        <v>170.33081439311579</v>
      </c>
      <c r="J513" s="82">
        <v>213.2656965797174</v>
      </c>
      <c r="K513" s="55">
        <v>71.1646510036134</v>
      </c>
      <c r="L513" s="54">
        <v>5.7691417978090831</v>
      </c>
      <c r="M513" s="82">
        <v>115.38283595618167</v>
      </c>
      <c r="N513" s="258">
        <v>131.50109625033252</v>
      </c>
      <c r="O513" s="55">
        <v>41.416492767197461</v>
      </c>
      <c r="P513" s="55">
        <v>14.170255375859659</v>
      </c>
      <c r="R513" s="201"/>
    </row>
    <row r="514" spans="1:34" ht="14.25">
      <c r="A514" s="59"/>
      <c r="B514" s="280" t="s">
        <v>42</v>
      </c>
      <c r="C514" s="56"/>
      <c r="D514" s="56"/>
      <c r="E514" s="280"/>
      <c r="F514" s="55">
        <v>36.005793402792669</v>
      </c>
      <c r="G514" s="54">
        <v>4.3242477193189872</v>
      </c>
      <c r="H514" s="55">
        <v>20.908403093468902</v>
      </c>
      <c r="I514" s="82">
        <v>209.08403093468903</v>
      </c>
      <c r="J514" s="82">
        <v>267.26248421218554</v>
      </c>
      <c r="K514" s="55">
        <v>69.535270688105882</v>
      </c>
      <c r="L514" s="54">
        <v>7.0535739705478049</v>
      </c>
      <c r="M514" s="82">
        <v>141.0714794109561</v>
      </c>
      <c r="N514" s="258">
        <v>164.6500982462363</v>
      </c>
      <c r="O514" s="55">
        <v>40.387719379499586</v>
      </c>
      <c r="P514" s="55">
        <v>18.107235038578047</v>
      </c>
      <c r="R514" s="202"/>
      <c r="S514" s="111"/>
      <c r="T514" s="112"/>
      <c r="U514" s="113"/>
      <c r="V514" s="112"/>
      <c r="W514" s="112"/>
      <c r="X514" s="112"/>
      <c r="Y514" s="112"/>
      <c r="Z514" s="112"/>
      <c r="AA514" s="112"/>
      <c r="AB514" s="112"/>
      <c r="AC514" s="114"/>
      <c r="AD514" s="114"/>
      <c r="AE514" s="115"/>
      <c r="AF514" s="112"/>
      <c r="AG514" s="112"/>
      <c r="AH514" s="112"/>
    </row>
    <row r="515" spans="1:34" ht="14.25">
      <c r="A515" s="59"/>
      <c r="B515" s="280" t="s">
        <v>43</v>
      </c>
      <c r="C515" s="56"/>
      <c r="D515" s="56"/>
      <c r="E515" s="280"/>
      <c r="F515" s="55">
        <v>44.514011706877163</v>
      </c>
      <c r="G515" s="54">
        <v>5.2566370614359172</v>
      </c>
      <c r="H515" s="55">
        <v>24.443952179465494</v>
      </c>
      <c r="I515" s="82">
        <v>244.43952179465495</v>
      </c>
      <c r="J515" s="82">
        <v>318.08111294102713</v>
      </c>
      <c r="K515" s="55">
        <v>68.191731238783717</v>
      </c>
      <c r="L515" s="54">
        <v>8.177433538952581</v>
      </c>
      <c r="M515" s="82">
        <v>163.54867077905163</v>
      </c>
      <c r="N515" s="258">
        <v>195.24925986923128</v>
      </c>
      <c r="O515" s="55">
        <v>39.441599171653941</v>
      </c>
      <c r="P515" s="55">
        <v>21.541344277704216</v>
      </c>
      <c r="R515" s="203"/>
      <c r="S515" s="117"/>
      <c r="T515" s="116"/>
      <c r="U515" s="118"/>
      <c r="V515" s="119"/>
      <c r="W515" s="116"/>
      <c r="X515" s="116"/>
      <c r="Y515" s="119"/>
      <c r="Z515" s="119"/>
      <c r="AA515" s="85"/>
      <c r="AB515" s="116"/>
      <c r="AC515" s="119"/>
      <c r="AD515" s="119"/>
      <c r="AE515" s="85"/>
      <c r="AF515" s="297"/>
      <c r="AG515" s="298"/>
      <c r="AH515" s="298"/>
    </row>
    <row r="516" spans="1:34" ht="14.25">
      <c r="A516" s="59"/>
      <c r="B516" s="280"/>
      <c r="C516" s="56"/>
      <c r="D516" s="56"/>
      <c r="E516" s="280"/>
      <c r="F516" s="55"/>
      <c r="G516" s="54"/>
      <c r="H516" s="55"/>
      <c r="I516" s="82"/>
      <c r="J516" s="82"/>
      <c r="K516" s="55"/>
      <c r="L516" s="54"/>
      <c r="M516" s="82"/>
      <c r="N516" s="249"/>
      <c r="O516" s="55"/>
      <c r="P516" s="55"/>
      <c r="R516" s="203"/>
      <c r="S516" s="85"/>
      <c r="T516" s="116"/>
      <c r="U516" s="118"/>
      <c r="V516" s="119"/>
      <c r="W516" s="116"/>
      <c r="X516" s="116"/>
      <c r="Y516" s="119"/>
      <c r="Z516" s="119"/>
      <c r="AA516" s="85"/>
      <c r="AB516" s="116"/>
      <c r="AC516" s="119"/>
      <c r="AD516" s="119"/>
      <c r="AE516" s="85"/>
      <c r="AF516" s="297"/>
      <c r="AG516" s="298"/>
      <c r="AH516" s="298"/>
    </row>
    <row r="517" spans="1:34" ht="14.25">
      <c r="A517" s="59"/>
      <c r="B517" s="276" t="s">
        <v>498</v>
      </c>
      <c r="C517" s="71"/>
      <c r="D517" s="71"/>
      <c r="E517" s="276"/>
      <c r="F517" s="65">
        <v>21.2</v>
      </c>
      <c r="G517" s="67">
        <v>2.69479632</v>
      </c>
      <c r="H517" s="68">
        <v>15.838736695663087</v>
      </c>
      <c r="I517" s="72">
        <v>158.38736695663087</v>
      </c>
      <c r="J517" s="72">
        <v>187.20986409728002</v>
      </c>
      <c r="K517" s="68">
        <v>76.665027669901221</v>
      </c>
      <c r="L517" s="68">
        <v>10.209974236271087</v>
      </c>
      <c r="M517" s="72">
        <v>136.13298981694783</v>
      </c>
      <c r="N517" s="251">
        <v>154.06869530727806</v>
      </c>
      <c r="O517" s="68">
        <v>61.553017808999925</v>
      </c>
      <c r="P517" s="68">
        <v>19.420253798079212</v>
      </c>
      <c r="R517" s="203"/>
      <c r="S517" s="85"/>
      <c r="T517" s="116"/>
      <c r="U517" s="113"/>
      <c r="V517" s="119"/>
      <c r="W517" s="116"/>
      <c r="X517" s="116"/>
      <c r="Y517" s="119"/>
      <c r="Z517" s="119"/>
      <c r="AA517" s="85"/>
      <c r="AB517" s="116"/>
      <c r="AC517" s="119"/>
      <c r="AD517" s="119"/>
      <c r="AE517" s="85"/>
      <c r="AF517" s="116"/>
      <c r="AG517" s="116"/>
      <c r="AH517" s="119"/>
    </row>
    <row r="518" spans="1:34" ht="14.25">
      <c r="A518" s="59"/>
      <c r="B518" s="276" t="s">
        <v>499</v>
      </c>
      <c r="C518" s="71"/>
      <c r="D518" s="71"/>
      <c r="E518" s="276"/>
      <c r="F518" s="65">
        <v>23.8</v>
      </c>
      <c r="G518" s="67">
        <v>3.0168515925000001</v>
      </c>
      <c r="H518" s="68">
        <v>17.614275501625595</v>
      </c>
      <c r="I518" s="72">
        <v>176.14275501625596</v>
      </c>
      <c r="J518" s="72">
        <v>208.83308737288499</v>
      </c>
      <c r="K518" s="68">
        <v>76.410918317622446</v>
      </c>
      <c r="L518" s="68">
        <v>11.344940761397533</v>
      </c>
      <c r="M518" s="72">
        <v>151.26587681863376</v>
      </c>
      <c r="N518" s="251">
        <v>171.81521574456835</v>
      </c>
      <c r="O518" s="68">
        <v>61.323105908651506</v>
      </c>
      <c r="P518" s="68">
        <v>21.685203384357379</v>
      </c>
      <c r="R518" s="203"/>
      <c r="S518" s="85"/>
      <c r="T518" s="116"/>
      <c r="U518" s="118"/>
      <c r="V518" s="119"/>
      <c r="W518" s="111"/>
      <c r="X518" s="111"/>
      <c r="Y518" s="111"/>
      <c r="Z518" s="111"/>
      <c r="AA518" s="85"/>
      <c r="AB518" s="111"/>
      <c r="AC518" s="119"/>
      <c r="AD518" s="119"/>
      <c r="AE518" s="85"/>
      <c r="AF518" s="111"/>
      <c r="AG518" s="116"/>
      <c r="AH518" s="111"/>
    </row>
    <row r="519" spans="1:34" ht="14.25">
      <c r="A519" s="59"/>
      <c r="B519" s="276" t="s">
        <v>429</v>
      </c>
      <c r="C519" s="71"/>
      <c r="D519" s="71"/>
      <c r="E519" s="276"/>
      <c r="F519" s="65">
        <v>31.5</v>
      </c>
      <c r="G519" s="67">
        <v>3.96329172</v>
      </c>
      <c r="H519" s="68">
        <v>22.678815245898374</v>
      </c>
      <c r="I519" s="72">
        <v>226.78815245898375</v>
      </c>
      <c r="J519" s="72">
        <v>271.36870532832</v>
      </c>
      <c r="K519" s="68">
        <v>75.645336917850145</v>
      </c>
      <c r="L519" s="68">
        <v>14.570192582950373</v>
      </c>
      <c r="M519" s="72">
        <v>194.26923443933831</v>
      </c>
      <c r="N519" s="251">
        <v>223.08339641502499</v>
      </c>
      <c r="O519" s="68">
        <v>60.632381420598755</v>
      </c>
      <c r="P519" s="68">
        <v>28.261927714409122</v>
      </c>
      <c r="R519" s="203"/>
      <c r="S519" s="85"/>
      <c r="T519" s="116"/>
      <c r="U519" s="118"/>
      <c r="V519" s="119"/>
      <c r="W519" s="116"/>
      <c r="X519" s="116"/>
      <c r="Y519" s="119"/>
      <c r="Z519" s="119"/>
      <c r="AA519" s="85"/>
      <c r="AB519" s="116"/>
      <c r="AC519" s="119"/>
      <c r="AD519" s="119"/>
      <c r="AE519" s="85"/>
      <c r="AF519" s="116"/>
      <c r="AG519" s="116"/>
      <c r="AH519" s="119"/>
    </row>
    <row r="520" spans="1:34" ht="14.25">
      <c r="A520" s="59"/>
      <c r="B520" s="276" t="s">
        <v>430</v>
      </c>
      <c r="C520" s="71"/>
      <c r="D520" s="71"/>
      <c r="E520" s="276"/>
      <c r="F520" s="65">
        <v>41.6</v>
      </c>
      <c r="G520" s="67">
        <v>5.1242470400000002</v>
      </c>
      <c r="H520" s="68">
        <v>28.275756187092917</v>
      </c>
      <c r="I520" s="72">
        <v>282.75756187092918</v>
      </c>
      <c r="J520" s="72">
        <v>343.66020040191995</v>
      </c>
      <c r="K520" s="68">
        <v>74.283453226314265</v>
      </c>
      <c r="L520" s="68">
        <v>18.148539414900913</v>
      </c>
      <c r="M520" s="72">
        <v>241.98052553201219</v>
      </c>
      <c r="N520" s="251">
        <v>282.75629122921089</v>
      </c>
      <c r="O520" s="68">
        <v>59.512173253435961</v>
      </c>
      <c r="P520" s="68">
        <v>36.648572855705915</v>
      </c>
      <c r="S520" s="85"/>
      <c r="T520" s="116"/>
      <c r="U520" s="118"/>
      <c r="V520" s="119"/>
      <c r="W520" s="112"/>
      <c r="X520" s="112"/>
      <c r="Y520" s="112"/>
      <c r="Z520" s="112"/>
      <c r="AA520" s="112"/>
      <c r="AB520" s="112"/>
      <c r="AC520" s="114"/>
      <c r="AD520" s="114"/>
      <c r="AE520" s="115"/>
      <c r="AF520" s="112"/>
      <c r="AG520" s="112"/>
      <c r="AH520" s="112"/>
    </row>
    <row r="521" spans="1:34" ht="14.25">
      <c r="A521" s="59"/>
      <c r="B521" s="276" t="s">
        <v>431</v>
      </c>
      <c r="C521" s="71"/>
      <c r="D521" s="71"/>
      <c r="E521" s="276"/>
      <c r="F521" s="65">
        <v>51.6</v>
      </c>
      <c r="G521" s="67">
        <v>6.2566360000000003</v>
      </c>
      <c r="H521" s="68">
        <v>33.45914241212396</v>
      </c>
      <c r="I521" s="72">
        <v>334.59142412123958</v>
      </c>
      <c r="J521" s="72">
        <v>412.29542891</v>
      </c>
      <c r="K521" s="68">
        <v>73.128549295288011</v>
      </c>
      <c r="L521" s="68">
        <v>21.421055278936471</v>
      </c>
      <c r="M521" s="72">
        <v>285.61407038581962</v>
      </c>
      <c r="N521" s="251">
        <v>339.16518640512908</v>
      </c>
      <c r="O521" s="68">
        <v>58.51267949066888</v>
      </c>
      <c r="P521" s="68">
        <v>44.284056706481707</v>
      </c>
      <c r="R521" s="89"/>
      <c r="S521" s="85"/>
      <c r="T521" s="116"/>
      <c r="U521" s="118"/>
      <c r="V521" s="119"/>
      <c r="W521" s="116"/>
      <c r="X521" s="116"/>
      <c r="Y521" s="119"/>
      <c r="Z521" s="119"/>
      <c r="AA521" s="85"/>
      <c r="AB521" s="116"/>
      <c r="AC521" s="119"/>
      <c r="AD521" s="119"/>
      <c r="AE521" s="85"/>
      <c r="AF521" s="116"/>
      <c r="AG521" s="116"/>
      <c r="AH521" s="119"/>
    </row>
    <row r="522" spans="1:34" ht="14.25">
      <c r="A522" s="59"/>
      <c r="B522" s="280"/>
      <c r="C522" s="56"/>
      <c r="D522" s="56"/>
      <c r="E522" s="280"/>
      <c r="F522" s="15"/>
      <c r="G522" s="7"/>
      <c r="H522" s="15"/>
      <c r="I522" s="75"/>
      <c r="J522" s="75"/>
      <c r="K522" s="56"/>
      <c r="L522" s="7"/>
      <c r="M522" s="75"/>
      <c r="N522" s="249"/>
      <c r="O522" s="56"/>
      <c r="P522" s="15"/>
      <c r="R522" s="89"/>
      <c r="S522" s="85"/>
      <c r="T522" s="116"/>
      <c r="U522" s="118"/>
      <c r="V522" s="119"/>
      <c r="W522" s="116"/>
      <c r="X522" s="116"/>
      <c r="Y522" s="119"/>
      <c r="Z522" s="119"/>
      <c r="AA522" s="85"/>
      <c r="AB522" s="116"/>
      <c r="AC522" s="119"/>
      <c r="AD522" s="119"/>
      <c r="AE522" s="85"/>
      <c r="AF522" s="116"/>
      <c r="AG522" s="116"/>
      <c r="AH522" s="119"/>
    </row>
    <row r="523" spans="1:34" ht="14.25">
      <c r="A523" s="59"/>
      <c r="B523" s="276" t="s">
        <v>484</v>
      </c>
      <c r="C523" s="71"/>
      <c r="D523" s="71"/>
      <c r="E523" s="276"/>
      <c r="F523" s="212">
        <v>21.218756605316983</v>
      </c>
      <c r="G523" s="213">
        <v>2.6947964473723101</v>
      </c>
      <c r="H523" s="212">
        <v>20.916564497026993</v>
      </c>
      <c r="I523" s="214">
        <v>167.33251597621594</v>
      </c>
      <c r="J523" s="214">
        <v>210.40851767589373</v>
      </c>
      <c r="K523" s="212">
        <v>88.101275082684296</v>
      </c>
      <c r="L523" s="213">
        <v>5.0299168621122021</v>
      </c>
      <c r="M523" s="214">
        <v>100.59833724224406</v>
      </c>
      <c r="N523" s="259">
        <v>110.8987841229704</v>
      </c>
      <c r="O523" s="212">
        <v>43.203349690966498</v>
      </c>
      <c r="P523" s="212">
        <v>13.225179423750276</v>
      </c>
      <c r="R523" s="89"/>
      <c r="S523" s="85"/>
      <c r="T523" s="116"/>
      <c r="U523" s="118"/>
      <c r="V523" s="119"/>
      <c r="W523" s="116"/>
      <c r="X523" s="116"/>
      <c r="Y523" s="119"/>
      <c r="Z523" s="119"/>
      <c r="AA523" s="85"/>
      <c r="AB523" s="116"/>
      <c r="AC523" s="119"/>
      <c r="AD523" s="119"/>
      <c r="AE523" s="85"/>
      <c r="AF523" s="116"/>
      <c r="AG523" s="116"/>
      <c r="AH523" s="119"/>
    </row>
    <row r="524" spans="1:34" ht="14.25">
      <c r="A524" s="59"/>
      <c r="B524" s="276" t="s">
        <v>485</v>
      </c>
      <c r="C524" s="71"/>
      <c r="D524" s="71"/>
      <c r="E524" s="276"/>
      <c r="F524" s="212">
        <v>23.815612800737551</v>
      </c>
      <c r="G524" s="213">
        <v>3.0168517537055801</v>
      </c>
      <c r="H524" s="212">
        <v>23.256730632877957</v>
      </c>
      <c r="I524" s="214">
        <v>186.05384506302366</v>
      </c>
      <c r="J524" s="214">
        <v>234.6828034298473</v>
      </c>
      <c r="K524" s="212">
        <v>87.80057225787229</v>
      </c>
      <c r="L524" s="213">
        <v>5.573213732994752</v>
      </c>
      <c r="M524" s="214">
        <v>111.46427465989504</v>
      </c>
      <c r="N524" s="259">
        <v>123.50642190192876</v>
      </c>
      <c r="O524" s="212">
        <v>42.980935554543628</v>
      </c>
      <c r="P524" s="212">
        <v>14.729616207282559</v>
      </c>
      <c r="R524" s="89"/>
      <c r="S524" s="85"/>
      <c r="T524" s="116"/>
      <c r="U524" s="118"/>
      <c r="V524" s="119"/>
      <c r="W524" s="116"/>
      <c r="X524" s="116"/>
      <c r="Y524" s="119"/>
      <c r="Z524" s="119"/>
      <c r="AA524" s="85"/>
      <c r="AB524" s="116"/>
      <c r="AC524" s="119"/>
      <c r="AD524" s="119"/>
      <c r="AE524" s="85"/>
      <c r="AF524" s="116"/>
      <c r="AG524" s="116"/>
      <c r="AH524" s="119"/>
    </row>
    <row r="525" spans="1:34" ht="14.25">
      <c r="A525" s="59"/>
      <c r="B525" s="276" t="s">
        <v>486</v>
      </c>
      <c r="C525" s="71"/>
      <c r="D525" s="71"/>
      <c r="E525" s="276"/>
      <c r="F525" s="212">
        <v>31.532196880007231</v>
      </c>
      <c r="G525" s="213">
        <v>3.963292006587698</v>
      </c>
      <c r="H525" s="212">
        <v>29.923423772414758</v>
      </c>
      <c r="I525" s="214">
        <v>239.38739017931806</v>
      </c>
      <c r="J525" s="214">
        <v>304.84799674440978</v>
      </c>
      <c r="K525" s="212">
        <v>86.89156229733905</v>
      </c>
      <c r="L525" s="213">
        <v>7.096341797809079</v>
      </c>
      <c r="M525" s="214">
        <v>141.92683595618158</v>
      </c>
      <c r="N525" s="259">
        <v>159.70109625033251</v>
      </c>
      <c r="O525" s="212">
        <v>42.314501311099491</v>
      </c>
      <c r="P525" s="212">
        <v>19.045417385711769</v>
      </c>
      <c r="R525" s="204"/>
      <c r="S525" s="85"/>
      <c r="T525" s="116"/>
      <c r="U525" s="118"/>
      <c r="V525" s="119"/>
      <c r="W525" s="116"/>
      <c r="X525" s="116"/>
      <c r="Y525" s="119"/>
      <c r="Z525" s="119"/>
      <c r="AA525" s="85"/>
      <c r="AB525" s="116"/>
      <c r="AC525" s="119"/>
      <c r="AD525" s="119"/>
      <c r="AE525" s="85"/>
      <c r="AF525" s="116"/>
      <c r="AG525" s="116"/>
      <c r="AH525" s="119"/>
    </row>
    <row r="526" spans="1:34" ht="14.25">
      <c r="A526" s="59"/>
      <c r="B526" s="280" t="s">
        <v>377</v>
      </c>
      <c r="C526" s="56"/>
      <c r="D526" s="56"/>
      <c r="E526" s="280"/>
      <c r="F526" s="212">
        <v>41.64834513605215</v>
      </c>
      <c r="G526" s="213">
        <v>5.124247719318987</v>
      </c>
      <c r="H526" s="212">
        <v>37.140848795319222</v>
      </c>
      <c r="I526" s="214">
        <v>297.12679036255378</v>
      </c>
      <c r="J526" s="214">
        <v>385.36867719516044</v>
      </c>
      <c r="K526" s="212">
        <v>85.135531970436503</v>
      </c>
      <c r="L526" s="213">
        <v>8.7506406372144685</v>
      </c>
      <c r="M526" s="214">
        <v>175.01281274428936</v>
      </c>
      <c r="N526" s="259">
        <v>201.45009824623631</v>
      </c>
      <c r="O526" s="212">
        <v>41.324239155135899</v>
      </c>
      <c r="P526" s="212">
        <v>24.386618917409482</v>
      </c>
      <c r="S526" s="85"/>
      <c r="T526" s="116"/>
      <c r="U526" s="118"/>
      <c r="V526" s="119"/>
      <c r="W526" s="116"/>
      <c r="X526" s="116"/>
      <c r="Y526" s="119"/>
      <c r="Z526" s="119"/>
      <c r="AA526" s="85"/>
      <c r="AB526" s="116"/>
      <c r="AC526" s="119"/>
      <c r="AD526" s="119"/>
      <c r="AE526" s="85"/>
      <c r="AF526" s="116"/>
      <c r="AG526" s="116"/>
      <c r="AH526" s="119"/>
    </row>
    <row r="527" spans="1:34" ht="14.25">
      <c r="A527" s="59"/>
      <c r="B527" s="280" t="s">
        <v>378</v>
      </c>
      <c r="C527" s="56"/>
      <c r="D527" s="56"/>
      <c r="E527" s="280"/>
      <c r="F527" s="212">
        <v>51.567201373451596</v>
      </c>
      <c r="G527" s="213">
        <v>6.2566370614359172</v>
      </c>
      <c r="H527" s="212">
        <v>43.841739323247644</v>
      </c>
      <c r="I527" s="214">
        <v>350.73391458598115</v>
      </c>
      <c r="J527" s="214">
        <v>461.99703947692518</v>
      </c>
      <c r="K527" s="212">
        <v>83.70924141109839</v>
      </c>
      <c r="L527" s="212">
        <v>10.210766872285914</v>
      </c>
      <c r="M527" s="214">
        <v>204.21533744571829</v>
      </c>
      <c r="N527" s="251">
        <v>240.24925986923128</v>
      </c>
      <c r="O527" s="212">
        <v>40.397891542555058</v>
      </c>
      <c r="P527" s="212">
        <v>29.095933825321829</v>
      </c>
      <c r="R527" s="205"/>
      <c r="S527" s="85"/>
      <c r="T527" s="116"/>
      <c r="U527" s="118"/>
      <c r="V527" s="119"/>
      <c r="W527" s="116"/>
      <c r="X527" s="116"/>
      <c r="Y527" s="119"/>
      <c r="Z527" s="119"/>
      <c r="AA527" s="85"/>
      <c r="AB527" s="116"/>
      <c r="AC527" s="119"/>
      <c r="AD527" s="119"/>
      <c r="AE527" s="85"/>
      <c r="AF527" s="116"/>
      <c r="AG527" s="116"/>
      <c r="AH527" s="119"/>
    </row>
    <row r="528" spans="1:34" ht="14.25">
      <c r="A528" s="59"/>
      <c r="B528" s="280"/>
      <c r="C528" s="56"/>
      <c r="D528" s="56"/>
      <c r="E528" s="280"/>
      <c r="F528" s="15"/>
      <c r="G528" s="7"/>
      <c r="H528" s="15"/>
      <c r="I528" s="75"/>
      <c r="J528" s="75"/>
      <c r="K528" s="56"/>
      <c r="L528" s="15"/>
      <c r="M528" s="75"/>
      <c r="N528" s="251"/>
      <c r="O528" s="56"/>
      <c r="P528" s="15"/>
      <c r="R528" s="205"/>
      <c r="S528" s="85"/>
      <c r="T528" s="116"/>
      <c r="U528" s="118"/>
      <c r="V528" s="119"/>
      <c r="W528" s="116"/>
      <c r="X528" s="116"/>
      <c r="Y528" s="119"/>
      <c r="Z528" s="119"/>
      <c r="AA528" s="85"/>
      <c r="AB528" s="116"/>
      <c r="AC528" s="119"/>
      <c r="AD528" s="119"/>
      <c r="AE528" s="85"/>
      <c r="AF528" s="116"/>
      <c r="AG528" s="116"/>
      <c r="AH528" s="119"/>
    </row>
    <row r="529" spans="1:34" ht="14.25">
      <c r="A529" s="59"/>
      <c r="B529" s="276" t="s">
        <v>487</v>
      </c>
      <c r="C529" s="71"/>
      <c r="D529" s="71"/>
      <c r="E529" s="276"/>
      <c r="F529" s="215">
        <v>35.821842251713434</v>
      </c>
      <c r="G529" s="216">
        <v>4.5632920065876981</v>
      </c>
      <c r="H529" s="215">
        <v>38.855623772414759</v>
      </c>
      <c r="I529" s="217">
        <v>310.84499017931807</v>
      </c>
      <c r="J529" s="217">
        <v>378.04799674440977</v>
      </c>
      <c r="K529" s="215">
        <v>92.275798606935425</v>
      </c>
      <c r="L529" s="215">
        <v>17.68345411444302</v>
      </c>
      <c r="M529" s="217">
        <v>235.77938819257358</v>
      </c>
      <c r="N529" s="260">
        <v>266.28339641502498</v>
      </c>
      <c r="O529" s="215">
        <v>62.25072585652299</v>
      </c>
      <c r="P529" s="215">
        <v>38.858027742162378</v>
      </c>
      <c r="R529" s="205"/>
      <c r="S529" s="85"/>
      <c r="T529" s="116"/>
      <c r="U529" s="118"/>
      <c r="V529" s="119"/>
      <c r="W529" s="116"/>
      <c r="X529" s="116"/>
      <c r="Y529" s="119"/>
      <c r="Z529" s="119"/>
      <c r="AA529" s="85"/>
      <c r="AB529" s="116"/>
      <c r="AC529" s="119"/>
      <c r="AD529" s="119"/>
      <c r="AE529" s="85"/>
      <c r="AF529" s="116"/>
      <c r="AG529" s="116"/>
      <c r="AH529" s="119"/>
    </row>
    <row r="530" spans="1:34" ht="14.25">
      <c r="A530" s="59"/>
      <c r="B530" s="280" t="s">
        <v>44</v>
      </c>
      <c r="C530" s="56"/>
      <c r="D530" s="56"/>
      <c r="E530" s="280"/>
      <c r="F530" s="215">
        <v>46.505344596654048</v>
      </c>
      <c r="G530" s="216">
        <v>5.9242477193189869</v>
      </c>
      <c r="H530" s="215">
        <v>48.857915461985861</v>
      </c>
      <c r="I530" s="217">
        <v>390.86332369588689</v>
      </c>
      <c r="J530" s="217">
        <v>482.1686771951604</v>
      </c>
      <c r="K530" s="215">
        <v>90.813593661349529</v>
      </c>
      <c r="L530" s="215">
        <v>22.192467040767308</v>
      </c>
      <c r="M530" s="217">
        <v>295.89956054356412</v>
      </c>
      <c r="N530" s="260">
        <v>339.5562912292109</v>
      </c>
      <c r="O530" s="215">
        <v>61.204899164170094</v>
      </c>
      <c r="P530" s="215">
        <v>50.504491878907352</v>
      </c>
      <c r="R530" s="205"/>
      <c r="S530" s="85"/>
      <c r="T530" s="116"/>
      <c r="U530" s="118"/>
      <c r="V530" s="119"/>
      <c r="W530" s="116"/>
      <c r="X530" s="116"/>
      <c r="Y530" s="119"/>
      <c r="Z530" s="119"/>
      <c r="AA530" s="85"/>
      <c r="AB530" s="116"/>
      <c r="AC530" s="119"/>
      <c r="AD530" s="119"/>
      <c r="AE530" s="85"/>
      <c r="AF530" s="116"/>
      <c r="AG530" s="116"/>
      <c r="AH530" s="119"/>
    </row>
    <row r="531" spans="1:34" ht="14.25">
      <c r="A531" s="59"/>
      <c r="B531" s="280" t="s">
        <v>45</v>
      </c>
      <c r="C531" s="56"/>
      <c r="D531" s="56"/>
      <c r="E531" s="280"/>
      <c r="F531" s="215">
        <v>56.964600932271949</v>
      </c>
      <c r="G531" s="216">
        <v>7.2566370614359172</v>
      </c>
      <c r="H531" s="215">
        <v>58.250072656580969</v>
      </c>
      <c r="I531" s="217">
        <v>466.00058125264775</v>
      </c>
      <c r="J531" s="217">
        <v>581.99703947692512</v>
      </c>
      <c r="K531" s="215">
        <v>89.594331722539167</v>
      </c>
      <c r="L531" s="215">
        <v>26.341961362478258</v>
      </c>
      <c r="M531" s="217">
        <v>351.22615149971011</v>
      </c>
      <c r="N531" s="260">
        <v>409.16518640512908</v>
      </c>
      <c r="O531" s="215">
        <v>60.249903124406046</v>
      </c>
      <c r="P531" s="215">
        <v>61.206982298940353</v>
      </c>
      <c r="R531" s="206"/>
      <c r="S531" s="85"/>
      <c r="T531" s="116"/>
      <c r="U531" s="118"/>
      <c r="V531" s="119"/>
      <c r="W531" s="112"/>
      <c r="X531" s="112"/>
      <c r="Y531" s="112"/>
      <c r="Z531" s="112"/>
      <c r="AA531" s="112"/>
      <c r="AB531" s="112"/>
      <c r="AC531" s="114"/>
      <c r="AD531" s="114"/>
      <c r="AE531" s="115"/>
      <c r="AF531" s="112"/>
      <c r="AG531" s="112"/>
      <c r="AH531" s="112"/>
    </row>
    <row r="532" spans="1:34">
      <c r="A532" s="59"/>
      <c r="B532" s="280" t="s">
        <v>1</v>
      </c>
      <c r="C532" s="56"/>
      <c r="D532" s="56"/>
      <c r="E532" s="280"/>
      <c r="F532" s="15" t="s">
        <v>135</v>
      </c>
      <c r="G532" s="7" t="s">
        <v>135</v>
      </c>
      <c r="H532" s="15" t="s">
        <v>135</v>
      </c>
      <c r="I532" s="75" t="s">
        <v>135</v>
      </c>
      <c r="J532" s="75" t="s">
        <v>135</v>
      </c>
      <c r="K532" s="56" t="s">
        <v>135</v>
      </c>
      <c r="L532" s="15" t="s">
        <v>135</v>
      </c>
      <c r="M532" s="75" t="s">
        <v>135</v>
      </c>
      <c r="N532" s="251"/>
      <c r="O532" s="56" t="s">
        <v>135</v>
      </c>
      <c r="P532" s="15" t="s">
        <v>135</v>
      </c>
    </row>
    <row r="533" spans="1:34">
      <c r="A533" s="59"/>
      <c r="B533" s="276" t="s">
        <v>488</v>
      </c>
      <c r="C533" s="71"/>
      <c r="D533" s="71"/>
      <c r="E533" s="276"/>
      <c r="F533" s="218">
        <v>39.50772673374923</v>
      </c>
      <c r="G533" s="219">
        <v>5.0432920065876976</v>
      </c>
      <c r="H533" s="220">
        <v>58.141641113752591</v>
      </c>
      <c r="I533" s="221">
        <v>387.61094075835064</v>
      </c>
      <c r="J533" s="221">
        <v>481.99029690910237</v>
      </c>
      <c r="K533" s="221">
        <v>107.37089809937706</v>
      </c>
      <c r="L533" s="220">
        <v>17.828902450457452</v>
      </c>
      <c r="M533" s="221">
        <v>254.69860643510646</v>
      </c>
      <c r="N533" s="261">
        <v>283.96693638208649</v>
      </c>
      <c r="O533" s="220">
        <v>59.457308684744604</v>
      </c>
      <c r="P533" s="220">
        <v>44.219423525936236</v>
      </c>
      <c r="R533" s="207"/>
    </row>
    <row r="534" spans="1:34">
      <c r="A534" s="59"/>
      <c r="B534" s="280" t="s">
        <v>379</v>
      </c>
      <c r="C534" s="56"/>
      <c r="D534" s="56"/>
      <c r="E534" s="280"/>
      <c r="F534" s="218">
        <v>52.282384941041435</v>
      </c>
      <c r="G534" s="219">
        <v>6.5642477193189874</v>
      </c>
      <c r="H534" s="220">
        <v>73.424257479651601</v>
      </c>
      <c r="I534" s="221">
        <v>489.49504986434397</v>
      </c>
      <c r="J534" s="221">
        <v>616.91487017813506</v>
      </c>
      <c r="K534" s="221">
        <v>105.76142668964586</v>
      </c>
      <c r="L534" s="220">
        <v>22.432743654791519</v>
      </c>
      <c r="M534" s="221">
        <v>320.46776649702173</v>
      </c>
      <c r="N534" s="261">
        <v>363.13505263261601</v>
      </c>
      <c r="O534" s="220">
        <v>58.45864110837357</v>
      </c>
      <c r="P534" s="220">
        <v>57.419941192913747</v>
      </c>
      <c r="R534" s="207"/>
    </row>
    <row r="535" spans="1:34">
      <c r="A535" s="59"/>
      <c r="B535" s="280" t="s">
        <v>380</v>
      </c>
      <c r="C535" s="56"/>
      <c r="D535" s="56"/>
      <c r="E535" s="280"/>
      <c r="F535" s="218">
        <v>64.859751129688163</v>
      </c>
      <c r="G535" s="219">
        <v>8.056637061435918</v>
      </c>
      <c r="H535" s="220">
        <v>87.886989460491336</v>
      </c>
      <c r="I535" s="221">
        <v>585.91326306994233</v>
      </c>
      <c r="J535" s="221">
        <v>746.91296601282295</v>
      </c>
      <c r="K535" s="221">
        <v>104.44445646641756</v>
      </c>
      <c r="L535" s="220">
        <v>26.663392091629532</v>
      </c>
      <c r="M535" s="221">
        <v>380.90560130899331</v>
      </c>
      <c r="N535" s="261">
        <v>438.38200109794957</v>
      </c>
      <c r="O535" s="220">
        <v>57.52820186231601</v>
      </c>
      <c r="P535" s="220">
        <v>69.55395600349766</v>
      </c>
      <c r="R535" s="207"/>
    </row>
    <row r="536" spans="1:34">
      <c r="A536" s="59"/>
      <c r="B536" s="280"/>
      <c r="C536" s="56"/>
      <c r="D536" s="56"/>
      <c r="E536" s="280"/>
      <c r="F536" s="15"/>
      <c r="G536" s="7"/>
      <c r="H536" s="15"/>
      <c r="I536" s="75"/>
      <c r="J536" s="75"/>
      <c r="K536" s="75"/>
      <c r="L536" s="15"/>
      <c r="M536" s="75"/>
      <c r="N536" s="251"/>
      <c r="O536" s="56"/>
      <c r="P536" s="15"/>
      <c r="R536" s="204"/>
    </row>
    <row r="537" spans="1:34">
      <c r="A537" s="59"/>
      <c r="B537" s="276" t="s">
        <v>489</v>
      </c>
      <c r="C537" s="71"/>
      <c r="D537" s="71"/>
      <c r="E537" s="276"/>
      <c r="F537" s="222">
        <v>47.039349545538798</v>
      </c>
      <c r="G537" s="223">
        <v>6.0032920065876976</v>
      </c>
      <c r="H537" s="222">
        <v>86.04321625259341</v>
      </c>
      <c r="I537" s="224">
        <v>537.77010157870882</v>
      </c>
      <c r="J537" s="224">
        <v>646.66321697497892</v>
      </c>
      <c r="K537" s="224">
        <v>119.71913868258538</v>
      </c>
      <c r="L537" s="222">
        <v>41.880761439311577</v>
      </c>
      <c r="M537" s="224">
        <v>418.80761439311578</v>
      </c>
      <c r="N537" s="262">
        <v>469.34569657971764</v>
      </c>
      <c r="O537" s="222">
        <v>83.524243403007219</v>
      </c>
      <c r="P537" s="222">
        <v>88.878341317840295</v>
      </c>
      <c r="R537" s="208"/>
    </row>
    <row r="538" spans="1:34">
      <c r="A538" s="59"/>
      <c r="B538" s="276" t="s">
        <v>490</v>
      </c>
      <c r="C538" s="71"/>
      <c r="D538" s="71"/>
      <c r="E538" s="276"/>
      <c r="F538" s="222">
        <v>62.324548690094197</v>
      </c>
      <c r="G538" s="223">
        <v>7.8442477193189868</v>
      </c>
      <c r="H538" s="224">
        <v>109.79732632181295</v>
      </c>
      <c r="I538" s="224">
        <v>686.2332895113309</v>
      </c>
      <c r="J538" s="224">
        <v>833.91734737132492</v>
      </c>
      <c r="K538" s="224">
        <v>118.309667088927</v>
      </c>
      <c r="L538" s="222">
        <v>53.367496426802226</v>
      </c>
      <c r="M538" s="224">
        <v>533.67496426802222</v>
      </c>
      <c r="N538" s="262">
        <v>605.18248421218584</v>
      </c>
      <c r="O538" s="222">
        <v>82.48268025129525</v>
      </c>
      <c r="P538" s="224">
        <v>116.42139987110868</v>
      </c>
      <c r="R538" s="208"/>
    </row>
    <row r="539" spans="1:34">
      <c r="A539" s="59"/>
      <c r="B539" s="280" t="s">
        <v>382</v>
      </c>
      <c r="C539" s="56"/>
      <c r="D539" s="56"/>
      <c r="E539" s="280"/>
      <c r="F539" s="222">
        <v>77.412455816003941</v>
      </c>
      <c r="G539" s="223">
        <v>9.6566370614359158</v>
      </c>
      <c r="H539" s="224">
        <v>132.48424582022471</v>
      </c>
      <c r="I539" s="224">
        <v>828.02653637640447</v>
      </c>
      <c r="J539" s="224">
        <v>1015.4793366271824</v>
      </c>
      <c r="K539" s="224">
        <v>117.13027539514222</v>
      </c>
      <c r="L539" s="222">
        <v>64.190618846132153</v>
      </c>
      <c r="M539" s="224">
        <v>641.90618846132156</v>
      </c>
      <c r="N539" s="262">
        <v>736.08111294102696</v>
      </c>
      <c r="O539" s="222">
        <v>81.531010832832266</v>
      </c>
      <c r="P539" s="224">
        <v>142.35393165102835</v>
      </c>
      <c r="R539" s="208"/>
    </row>
    <row r="540" spans="1:34">
      <c r="A540" s="59"/>
      <c r="B540" s="280"/>
      <c r="C540" s="56"/>
      <c r="D540" s="56"/>
      <c r="E540" s="280"/>
      <c r="F540" s="15"/>
      <c r="G540" s="7"/>
      <c r="H540" s="56"/>
      <c r="I540" s="75"/>
      <c r="J540" s="75"/>
      <c r="K540" s="75"/>
      <c r="L540" s="15"/>
      <c r="M540" s="75"/>
      <c r="N540" s="251"/>
      <c r="O540" s="56"/>
      <c r="P540" s="56"/>
      <c r="R540" s="204"/>
    </row>
    <row r="541" spans="1:34">
      <c r="A541" s="59"/>
      <c r="B541" s="276" t="s">
        <v>491</v>
      </c>
      <c r="C541" s="71"/>
      <c r="D541" s="71"/>
      <c r="E541" s="276"/>
      <c r="F541" s="225">
        <v>47.039349545538798</v>
      </c>
      <c r="G541" s="226">
        <v>6.0032920065876976</v>
      </c>
      <c r="H541" s="225">
        <v>92.890729792751685</v>
      </c>
      <c r="I541" s="227">
        <v>546.41605760442167</v>
      </c>
      <c r="J541" s="227">
        <v>667.81613704085601</v>
      </c>
      <c r="K541" s="227">
        <v>124.39171434882066</v>
      </c>
      <c r="L541" s="225">
        <v>34.903456708375998</v>
      </c>
      <c r="M541" s="227">
        <v>387.8161856486222</v>
      </c>
      <c r="N541" s="252">
        <v>431.3927765138406</v>
      </c>
      <c r="O541" s="225">
        <v>76.249936402435381</v>
      </c>
      <c r="P541" s="225">
        <v>80.89311711868757</v>
      </c>
      <c r="R541" s="209"/>
    </row>
    <row r="542" spans="1:34">
      <c r="A542" s="59"/>
      <c r="B542" s="276" t="s">
        <v>492</v>
      </c>
      <c r="C542" s="71"/>
      <c r="D542" s="71"/>
      <c r="E542" s="276"/>
      <c r="F542" s="225">
        <v>62.324548690094197</v>
      </c>
      <c r="G542" s="226">
        <v>7.8442477193189868</v>
      </c>
      <c r="H542" s="227">
        <v>118.45113804117135</v>
      </c>
      <c r="I542" s="227">
        <v>696.77140024218443</v>
      </c>
      <c r="J542" s="227">
        <v>860.83982456451474</v>
      </c>
      <c r="K542" s="227">
        <v>122.88361210726053</v>
      </c>
      <c r="L542" s="225">
        <v>44.406031514490401</v>
      </c>
      <c r="M542" s="227">
        <v>493.40035016100444</v>
      </c>
      <c r="N542" s="252">
        <v>555.86000701899593</v>
      </c>
      <c r="O542" s="225">
        <v>75.23940134308755</v>
      </c>
      <c r="P542" s="227">
        <v>105.76948007966311</v>
      </c>
      <c r="R542" s="209"/>
    </row>
    <row r="543" spans="1:34">
      <c r="A543" s="59"/>
      <c r="B543" s="280" t="s">
        <v>383</v>
      </c>
      <c r="C543" s="56"/>
      <c r="D543" s="56"/>
      <c r="E543" s="280"/>
      <c r="F543" s="225">
        <v>77.412455816003941</v>
      </c>
      <c r="G543" s="226">
        <v>9.6566370614359158</v>
      </c>
      <c r="H543" s="227">
        <v>142.87949625891184</v>
      </c>
      <c r="I543" s="227">
        <v>840.4676250524227</v>
      </c>
      <c r="J543" s="227">
        <v>1048.0457072415411</v>
      </c>
      <c r="K543" s="227">
        <v>121.63876460217604</v>
      </c>
      <c r="L543" s="225">
        <v>53.314660293455205</v>
      </c>
      <c r="M543" s="227">
        <v>592.38511437172451</v>
      </c>
      <c r="N543" s="252">
        <v>675.51474232666783</v>
      </c>
      <c r="O543" s="225">
        <v>74.303687747988619</v>
      </c>
      <c r="P543" s="227">
        <v>129.09560308352818</v>
      </c>
      <c r="R543" s="209"/>
    </row>
    <row r="544" spans="1:34">
      <c r="A544" s="58"/>
      <c r="B544" s="284"/>
      <c r="C544" s="121"/>
      <c r="D544" s="121"/>
      <c r="E544" s="284"/>
      <c r="F544" s="228"/>
      <c r="G544" s="229"/>
      <c r="H544" s="230"/>
      <c r="I544" s="230"/>
      <c r="J544" s="230"/>
      <c r="K544" s="230"/>
      <c r="L544" s="228"/>
      <c r="M544" s="230"/>
      <c r="N544" s="228"/>
      <c r="O544" s="230"/>
      <c r="R544" s="204"/>
    </row>
    <row r="545" spans="1:26" s="97" customFormat="1" ht="18">
      <c r="A545" s="102"/>
      <c r="B545" s="272"/>
      <c r="C545"/>
      <c r="D545"/>
      <c r="E545" s="272"/>
      <c r="N545" s="122"/>
      <c r="O545" s="122"/>
      <c r="R545" s="210"/>
      <c r="S545" s="122"/>
    </row>
    <row r="546" spans="1:26" s="97" customFormat="1" ht="23.25" customHeight="1">
      <c r="A546" s="96"/>
      <c r="B546" s="267" t="s">
        <v>130</v>
      </c>
      <c r="C546" s="1"/>
      <c r="D546" s="1"/>
      <c r="E546" s="267"/>
      <c r="N546" s="122"/>
      <c r="O546" s="122"/>
      <c r="R546" s="210"/>
      <c r="S546" s="122"/>
    </row>
    <row r="547" spans="1:26" s="97" customFormat="1" ht="18">
      <c r="A547" s="96"/>
      <c r="B547" s="285"/>
      <c r="E547" s="285"/>
      <c r="N547" s="122"/>
      <c r="O547" s="122"/>
      <c r="R547" s="210"/>
      <c r="S547" s="122"/>
    </row>
    <row r="548" spans="1:26" s="109" customFormat="1" ht="19.5" customHeight="1">
      <c r="A548" s="96"/>
      <c r="B548" s="278" t="s">
        <v>52</v>
      </c>
      <c r="C548" s="95"/>
      <c r="D548" s="95"/>
      <c r="E548" s="278"/>
      <c r="F548" s="294" t="s">
        <v>46</v>
      </c>
      <c r="G548" s="294" t="s">
        <v>142</v>
      </c>
      <c r="H548" s="294" t="s">
        <v>505</v>
      </c>
      <c r="I548" s="293" t="s">
        <v>497</v>
      </c>
      <c r="J548" s="296" t="s">
        <v>437</v>
      </c>
      <c r="K548" s="296"/>
      <c r="L548" s="296"/>
      <c r="M548" s="296" t="s">
        <v>438</v>
      </c>
      <c r="N548" s="296"/>
      <c r="O548" s="296"/>
      <c r="P548" s="293" t="s">
        <v>495</v>
      </c>
      <c r="Q548" s="294" t="s">
        <v>507</v>
      </c>
      <c r="R548" s="292"/>
      <c r="S548" s="292"/>
      <c r="U548" s="292"/>
      <c r="V548" s="292"/>
      <c r="W548" s="292"/>
      <c r="X548" s="292"/>
      <c r="Y548" s="292"/>
      <c r="Z548" s="292"/>
    </row>
    <row r="549" spans="1:26" s="109" customFormat="1" ht="18.75">
      <c r="A549" s="96"/>
      <c r="B549" s="278" t="s">
        <v>496</v>
      </c>
      <c r="C549" s="95"/>
      <c r="D549" s="95"/>
      <c r="E549" s="278"/>
      <c r="F549" s="294"/>
      <c r="G549" s="294"/>
      <c r="H549" s="294"/>
      <c r="I549" s="293"/>
      <c r="J549" s="125" t="s">
        <v>417</v>
      </c>
      <c r="K549" s="125" t="s">
        <v>506</v>
      </c>
      <c r="L549" s="125" t="s">
        <v>418</v>
      </c>
      <c r="M549" s="125" t="s">
        <v>417</v>
      </c>
      <c r="N549" s="125" t="s">
        <v>506</v>
      </c>
      <c r="O549" s="125" t="s">
        <v>418</v>
      </c>
      <c r="P549" s="293"/>
      <c r="Q549" s="294"/>
      <c r="R549" s="292"/>
      <c r="S549" s="292"/>
      <c r="U549" s="110"/>
      <c r="V549" s="110"/>
      <c r="W549" s="110"/>
      <c r="X549" s="110"/>
      <c r="Y549" s="110"/>
      <c r="Z549" s="110"/>
    </row>
    <row r="550" spans="1:26" s="2" customFormat="1" ht="14.25">
      <c r="A550" s="58"/>
      <c r="B550" s="279" t="s">
        <v>420</v>
      </c>
      <c r="C550" s="5"/>
      <c r="D550" s="5"/>
      <c r="E550" s="279"/>
      <c r="F550" s="5" t="s">
        <v>47</v>
      </c>
      <c r="G550" s="5" t="s">
        <v>231</v>
      </c>
      <c r="H550" s="5" t="s">
        <v>146</v>
      </c>
      <c r="I550" s="5" t="s">
        <v>420</v>
      </c>
      <c r="J550" s="5" t="s">
        <v>232</v>
      </c>
      <c r="K550" s="5" t="s">
        <v>233</v>
      </c>
      <c r="L550" s="5" t="s">
        <v>146</v>
      </c>
      <c r="M550" s="5" t="s">
        <v>232</v>
      </c>
      <c r="N550" s="5" t="s">
        <v>233</v>
      </c>
      <c r="O550" s="5" t="s">
        <v>146</v>
      </c>
      <c r="P550" s="5" t="s">
        <v>234</v>
      </c>
      <c r="Q550" s="5" t="s">
        <v>494</v>
      </c>
      <c r="R550" s="4"/>
      <c r="S550" s="4"/>
      <c r="U550" s="4"/>
      <c r="V550" s="4"/>
      <c r="W550" s="4"/>
      <c r="X550" s="4"/>
      <c r="Y550" s="4"/>
      <c r="Z550" s="4"/>
    </row>
    <row r="551" spans="1:26">
      <c r="A551" s="58"/>
      <c r="B551" s="271" t="s">
        <v>53</v>
      </c>
      <c r="C551" s="65"/>
      <c r="D551" s="65"/>
      <c r="E551" s="271"/>
      <c r="F551" s="65">
        <v>3.14</v>
      </c>
      <c r="G551" s="69">
        <v>0.4</v>
      </c>
      <c r="H551" s="65">
        <v>20.8</v>
      </c>
      <c r="I551" s="68">
        <v>47.701999999999998</v>
      </c>
      <c r="J551" s="69">
        <v>0.36</v>
      </c>
      <c r="K551" s="65">
        <v>9.59</v>
      </c>
      <c r="L551" s="68">
        <v>30</v>
      </c>
      <c r="M551" s="69">
        <v>0.15</v>
      </c>
      <c r="N551" s="65">
        <v>5.12</v>
      </c>
      <c r="O551" s="65">
        <v>19.3</v>
      </c>
      <c r="P551" s="69">
        <v>0.53471000000000002</v>
      </c>
      <c r="Q551" s="104">
        <v>0.26405000000000001</v>
      </c>
      <c r="R551" s="108"/>
      <c r="S551" s="87"/>
      <c r="U551" s="108"/>
      <c r="V551" s="88"/>
      <c r="W551" s="87"/>
      <c r="X551" s="108"/>
      <c r="Y551" s="88"/>
      <c r="Z551" s="87"/>
    </row>
    <row r="552" spans="1:26">
      <c r="A552" s="58"/>
      <c r="B552" s="271" t="s">
        <v>54</v>
      </c>
      <c r="C552" s="65"/>
      <c r="D552" s="65"/>
      <c r="E552" s="271"/>
      <c r="F552" s="65">
        <v>3.85</v>
      </c>
      <c r="G552" s="65">
        <v>0.49099999999999999</v>
      </c>
      <c r="H552" s="65">
        <v>20.8</v>
      </c>
      <c r="I552" s="68">
        <v>47.167000000000002</v>
      </c>
      <c r="J552" s="69">
        <v>0.433</v>
      </c>
      <c r="K552" s="65">
        <v>11.5</v>
      </c>
      <c r="L552" s="68">
        <v>29.7</v>
      </c>
      <c r="M552" s="69">
        <v>0.17799999999999999</v>
      </c>
      <c r="N552" s="67">
        <v>6.1</v>
      </c>
      <c r="O552" s="65">
        <v>19.100000000000001</v>
      </c>
      <c r="P552" s="69">
        <v>1.0199</v>
      </c>
      <c r="Q552" s="104">
        <v>0.30862000000000001</v>
      </c>
      <c r="R552" s="108"/>
      <c r="S552" s="87"/>
      <c r="U552" s="108"/>
      <c r="V552" s="87"/>
      <c r="W552" s="87"/>
      <c r="X552" s="108"/>
      <c r="Y552" s="88"/>
      <c r="Z552" s="87"/>
    </row>
    <row r="553" spans="1:26">
      <c r="A553" s="58"/>
      <c r="B553" s="271" t="s">
        <v>55</v>
      </c>
      <c r="C553" s="65"/>
      <c r="D553" s="65"/>
      <c r="E553" s="271"/>
      <c r="F553" s="65">
        <v>4.54</v>
      </c>
      <c r="G553" s="65">
        <v>0.57799999999999996</v>
      </c>
      <c r="H553" s="65">
        <v>20.7</v>
      </c>
      <c r="I553" s="68">
        <v>46.430999999999997</v>
      </c>
      <c r="J553" s="69">
        <v>0.5</v>
      </c>
      <c r="K553" s="65">
        <v>13.3</v>
      </c>
      <c r="L553" s="68">
        <v>29.4</v>
      </c>
      <c r="M553" s="69">
        <v>0.20399999999999999</v>
      </c>
      <c r="N553" s="67">
        <v>6.98</v>
      </c>
      <c r="O553" s="65">
        <v>18.8</v>
      </c>
      <c r="P553" s="69">
        <v>1.7250000000000001</v>
      </c>
      <c r="Q553" s="104">
        <v>0.34527000000000002</v>
      </c>
      <c r="R553" s="108"/>
      <c r="S553" s="87"/>
      <c r="U553" s="108"/>
      <c r="V553" s="87"/>
      <c r="W553" s="87"/>
      <c r="X553" s="108"/>
      <c r="Y553" s="88"/>
      <c r="Z553" s="87"/>
    </row>
    <row r="554" spans="1:26">
      <c r="A554" s="58"/>
      <c r="B554" s="271" t="s">
        <v>56</v>
      </c>
      <c r="C554" s="65"/>
      <c r="D554" s="65"/>
      <c r="E554" s="271"/>
      <c r="F554" s="65" t="s">
        <v>135</v>
      </c>
      <c r="G554" s="65" t="s">
        <v>135</v>
      </c>
      <c r="H554" s="65" t="s">
        <v>135</v>
      </c>
      <c r="I554" s="65"/>
      <c r="J554" s="65" t="s">
        <v>135</v>
      </c>
      <c r="K554" s="65" t="s">
        <v>135</v>
      </c>
      <c r="L554" s="68" t="s">
        <v>135</v>
      </c>
      <c r="M554" s="69" t="s">
        <v>135</v>
      </c>
      <c r="N554" s="67" t="s">
        <v>135</v>
      </c>
      <c r="O554" s="65" t="s">
        <v>135</v>
      </c>
      <c r="P554" s="69"/>
      <c r="Q554" s="104"/>
      <c r="R554" s="108"/>
      <c r="U554" s="108"/>
      <c r="V554" s="87"/>
      <c r="W554" s="87"/>
      <c r="X554" s="108"/>
      <c r="Y554" s="88"/>
      <c r="Z554" s="87"/>
    </row>
    <row r="555" spans="1:26">
      <c r="A555" s="58"/>
      <c r="B555" s="271" t="s">
        <v>57</v>
      </c>
      <c r="C555" s="65"/>
      <c r="D555" s="65"/>
      <c r="E555" s="271"/>
      <c r="F555" s="65">
        <v>3.53</v>
      </c>
      <c r="G555" s="69">
        <v>0.45</v>
      </c>
      <c r="H555" s="65">
        <v>18.600000000000001</v>
      </c>
      <c r="I555" s="68">
        <v>43.802999999999997</v>
      </c>
      <c r="J555" s="65">
        <v>0.70499999999999996</v>
      </c>
      <c r="K555" s="65">
        <v>14.1</v>
      </c>
      <c r="L555" s="68">
        <v>39.6</v>
      </c>
      <c r="M555" s="69">
        <v>0.16700000000000001</v>
      </c>
      <c r="N555" s="67">
        <v>5.32</v>
      </c>
      <c r="O555" s="65">
        <v>19.3</v>
      </c>
      <c r="P555" s="69">
        <v>0.60038000000000002</v>
      </c>
      <c r="Q555" s="104">
        <v>0.42692999999999998</v>
      </c>
      <c r="R555" s="108"/>
      <c r="S555" s="87"/>
      <c r="U555" s="108"/>
      <c r="V555" s="87"/>
      <c r="W555" s="87"/>
      <c r="X555" s="108"/>
      <c r="Y555" s="88"/>
      <c r="Z555" s="87"/>
    </row>
    <row r="556" spans="1:26">
      <c r="A556" s="58"/>
      <c r="B556" s="271" t="s">
        <v>58</v>
      </c>
      <c r="C556" s="65"/>
      <c r="D556" s="65"/>
      <c r="E556" s="271"/>
      <c r="F556" s="65">
        <v>4.3499999999999996</v>
      </c>
      <c r="G556" s="65">
        <v>0.55400000000000005</v>
      </c>
      <c r="H556" s="65">
        <v>18.600000000000001</v>
      </c>
      <c r="I556" s="68">
        <v>43.262999999999998</v>
      </c>
      <c r="J556" s="65">
        <v>0.85399999999999998</v>
      </c>
      <c r="K556" s="65">
        <v>17.100000000000001</v>
      </c>
      <c r="L556" s="68">
        <v>39.299999999999997</v>
      </c>
      <c r="M556" s="69">
        <v>0.2</v>
      </c>
      <c r="N556" s="67">
        <v>6.35</v>
      </c>
      <c r="O556" s="68">
        <v>19</v>
      </c>
      <c r="P556" s="69">
        <v>1.1471</v>
      </c>
      <c r="Q556" s="104">
        <v>0.50277000000000005</v>
      </c>
      <c r="R556" s="108"/>
      <c r="S556" s="87"/>
      <c r="U556" s="108"/>
      <c r="V556" s="87"/>
      <c r="W556" s="87"/>
      <c r="X556" s="108"/>
      <c r="Y556" s="88"/>
      <c r="Z556" s="87"/>
    </row>
    <row r="557" spans="1:26">
      <c r="A557" s="58"/>
      <c r="B557" s="271" t="s">
        <v>59</v>
      </c>
      <c r="C557" s="65"/>
      <c r="D557" s="65"/>
      <c r="E557" s="271"/>
      <c r="F557" s="65">
        <v>5.13</v>
      </c>
      <c r="G557" s="65">
        <v>0.65300000000000002</v>
      </c>
      <c r="H557" s="65">
        <v>18.5</v>
      </c>
      <c r="I557" s="68">
        <v>42.421999999999997</v>
      </c>
      <c r="J557" s="65">
        <v>0.99099999999999999</v>
      </c>
      <c r="K557" s="65">
        <v>19.8</v>
      </c>
      <c r="L557" s="68">
        <v>39</v>
      </c>
      <c r="M557" s="69">
        <v>0.22900000000000001</v>
      </c>
      <c r="N557" s="67">
        <v>7.27</v>
      </c>
      <c r="O557" s="68">
        <v>18.7</v>
      </c>
      <c r="P557" s="69">
        <v>1.9515</v>
      </c>
      <c r="Q557" s="104">
        <v>0.56255999999999995</v>
      </c>
      <c r="R557" s="108"/>
      <c r="S557" s="87"/>
      <c r="U557" s="108"/>
      <c r="V557" s="87"/>
      <c r="W557" s="87"/>
      <c r="X557" s="108"/>
      <c r="Y557" s="88"/>
      <c r="Z557" s="87"/>
    </row>
    <row r="558" spans="1:26">
      <c r="A558" s="58"/>
      <c r="B558" s="271" t="s">
        <v>56</v>
      </c>
      <c r="C558" s="65"/>
      <c r="D558" s="65"/>
      <c r="E558" s="271"/>
      <c r="F558" s="65" t="s">
        <v>135</v>
      </c>
      <c r="G558" s="65" t="s">
        <v>135</v>
      </c>
      <c r="H558" s="65" t="s">
        <v>135</v>
      </c>
      <c r="I558" s="65"/>
      <c r="J558" s="65" t="s">
        <v>135</v>
      </c>
      <c r="K558" s="65" t="s">
        <v>135</v>
      </c>
      <c r="L558" s="68" t="s">
        <v>135</v>
      </c>
      <c r="M558" s="69" t="s">
        <v>135</v>
      </c>
      <c r="N558" s="67" t="s">
        <v>135</v>
      </c>
      <c r="O558" s="68" t="s">
        <v>135</v>
      </c>
      <c r="P558" s="69"/>
      <c r="Q558" s="105"/>
      <c r="R558" s="108"/>
      <c r="U558" s="108"/>
      <c r="V558" s="87"/>
      <c r="W558" s="87"/>
      <c r="X558" s="108"/>
      <c r="Y558" s="88"/>
      <c r="Z558" s="87"/>
    </row>
    <row r="559" spans="1:26">
      <c r="A559" s="58"/>
      <c r="B559" s="271" t="s">
        <v>60</v>
      </c>
      <c r="C559" s="65"/>
      <c r="D559" s="65"/>
      <c r="E559" s="271"/>
      <c r="F559" s="65">
        <v>4.32</v>
      </c>
      <c r="G559" s="69">
        <v>0.55000000000000004</v>
      </c>
      <c r="H559" s="65">
        <v>29.5</v>
      </c>
      <c r="I559" s="68">
        <v>67.63900000000001</v>
      </c>
      <c r="J559" s="65">
        <v>0.94499999999999995</v>
      </c>
      <c r="K559" s="65">
        <v>18.899999999999999</v>
      </c>
      <c r="L559" s="68">
        <v>41.4</v>
      </c>
      <c r="M559" s="69">
        <v>0.439</v>
      </c>
      <c r="N559" s="65">
        <v>9.65</v>
      </c>
      <c r="O559" s="68">
        <v>28.2</v>
      </c>
      <c r="P559" s="69">
        <v>0.73811000000000004</v>
      </c>
      <c r="Q559" s="106">
        <v>1.1019000000000001</v>
      </c>
      <c r="R559" s="108"/>
      <c r="S559" s="87"/>
      <c r="U559" s="108"/>
      <c r="V559" s="87"/>
      <c r="W559" s="87"/>
      <c r="X559" s="108"/>
      <c r="Y559" s="88"/>
      <c r="Z559" s="87"/>
    </row>
    <row r="560" spans="1:26">
      <c r="A560" s="58"/>
      <c r="B560" s="271" t="s">
        <v>61</v>
      </c>
      <c r="C560" s="65"/>
      <c r="D560" s="65"/>
      <c r="E560" s="271"/>
      <c r="F560" s="65">
        <v>5.33</v>
      </c>
      <c r="G560" s="65">
        <v>0.67900000000000005</v>
      </c>
      <c r="H560" s="65">
        <v>29.5</v>
      </c>
      <c r="I560" s="68">
        <v>66.784999999999997</v>
      </c>
      <c r="J560" s="65">
        <v>1.1499999999999999</v>
      </c>
      <c r="K560" s="68">
        <v>23</v>
      </c>
      <c r="L560" s="68">
        <v>41.2</v>
      </c>
      <c r="M560" s="69">
        <v>0.53</v>
      </c>
      <c r="N560" s="65">
        <v>11.6</v>
      </c>
      <c r="O560" s="68">
        <v>27.9</v>
      </c>
      <c r="P560" s="69">
        <v>1.4130999999999998</v>
      </c>
      <c r="Q560" s="106">
        <v>1.3053999999999999</v>
      </c>
      <c r="R560" s="108"/>
      <c r="S560" s="87"/>
      <c r="U560" s="88"/>
      <c r="V560" s="87"/>
      <c r="W560" s="87"/>
      <c r="X560" s="108"/>
      <c r="Y560" s="87"/>
      <c r="Z560" s="87"/>
    </row>
    <row r="561" spans="1:26">
      <c r="A561" s="58"/>
      <c r="B561" s="271" t="s">
        <v>62</v>
      </c>
      <c r="C561" s="65"/>
      <c r="D561" s="65"/>
      <c r="E561" s="271"/>
      <c r="F561" s="67">
        <v>6.3</v>
      </c>
      <c r="G561" s="65">
        <v>0.80300000000000005</v>
      </c>
      <c r="H561" s="65">
        <v>29.4</v>
      </c>
      <c r="I561" s="68">
        <v>66.22999999999999</v>
      </c>
      <c r="J561" s="65">
        <v>1.34</v>
      </c>
      <c r="K561" s="68">
        <v>26.9</v>
      </c>
      <c r="L561" s="68">
        <v>40.9</v>
      </c>
      <c r="M561" s="69">
        <v>0.61399999999999999</v>
      </c>
      <c r="N561" s="65">
        <v>13.5</v>
      </c>
      <c r="O561" s="68">
        <v>27.7</v>
      </c>
      <c r="P561" s="69">
        <v>2.3965999999999998</v>
      </c>
      <c r="Q561" s="106">
        <v>1.4881</v>
      </c>
      <c r="R561" s="108"/>
      <c r="S561" s="87"/>
      <c r="U561" s="88"/>
      <c r="V561" s="87"/>
      <c r="W561" s="87"/>
      <c r="X561" s="108"/>
      <c r="Y561" s="87"/>
      <c r="Z561" s="87"/>
    </row>
    <row r="562" spans="1:26" ht="12.75" customHeight="1">
      <c r="A562" s="59"/>
      <c r="B562" s="271" t="s">
        <v>56</v>
      </c>
      <c r="C562" s="65"/>
      <c r="D562" s="65"/>
      <c r="E562" s="271"/>
      <c r="F562" s="65" t="s">
        <v>135</v>
      </c>
      <c r="G562" s="65" t="s">
        <v>135</v>
      </c>
      <c r="H562" s="65" t="s">
        <v>135</v>
      </c>
      <c r="I562" s="65"/>
      <c r="J562" s="65" t="s">
        <v>135</v>
      </c>
      <c r="K562" s="68" t="s">
        <v>135</v>
      </c>
      <c r="L562" s="68" t="s">
        <v>135</v>
      </c>
      <c r="M562" s="69" t="s">
        <v>135</v>
      </c>
      <c r="N562" s="65" t="s">
        <v>135</v>
      </c>
      <c r="O562" s="68" t="s">
        <v>135</v>
      </c>
      <c r="P562" s="69"/>
      <c r="Q562" s="105"/>
      <c r="R562" s="108"/>
      <c r="U562" s="88"/>
      <c r="V562" s="87"/>
      <c r="W562" s="87"/>
      <c r="X562" s="108"/>
      <c r="Y562" s="88"/>
      <c r="Z562" s="87"/>
    </row>
    <row r="563" spans="1:26">
      <c r="A563" s="59"/>
      <c r="B563" s="271" t="s">
        <v>63</v>
      </c>
      <c r="C563" s="65"/>
      <c r="D563" s="65"/>
      <c r="E563" s="271"/>
      <c r="F563" s="65">
        <v>3.93</v>
      </c>
      <c r="G563" s="69">
        <v>0.5</v>
      </c>
      <c r="H563" s="65">
        <v>16.8</v>
      </c>
      <c r="I563" s="68">
        <v>40.542999999999999</v>
      </c>
      <c r="J563" s="65">
        <v>1.19</v>
      </c>
      <c r="K563" s="68">
        <v>19.100000000000001</v>
      </c>
      <c r="L563" s="68">
        <v>48.8</v>
      </c>
      <c r="M563" s="69">
        <v>0.18099999999999999</v>
      </c>
      <c r="N563" s="65">
        <v>5.46</v>
      </c>
      <c r="O563" s="68">
        <v>19</v>
      </c>
      <c r="P563" s="69">
        <v>0.66753999999999991</v>
      </c>
      <c r="Q563" s="104">
        <v>0.64820999999999995</v>
      </c>
      <c r="R563" s="108"/>
      <c r="S563" s="87"/>
      <c r="U563" s="88"/>
      <c r="V563" s="87"/>
      <c r="W563" s="87"/>
      <c r="X563" s="108"/>
      <c r="Y563" s="88"/>
      <c r="Z563" s="87"/>
    </row>
    <row r="564" spans="1:26">
      <c r="A564" s="59"/>
      <c r="B564" s="271" t="s">
        <v>64</v>
      </c>
      <c r="C564" s="65"/>
      <c r="D564" s="65"/>
      <c r="E564" s="271"/>
      <c r="F564" s="65">
        <v>4.84</v>
      </c>
      <c r="G564" s="65">
        <v>0.61599999999999999</v>
      </c>
      <c r="H564" s="65">
        <v>16.8</v>
      </c>
      <c r="I564" s="68">
        <v>39.906000000000006</v>
      </c>
      <c r="J564" s="65">
        <v>1.45</v>
      </c>
      <c r="K564" s="68">
        <v>23.2</v>
      </c>
      <c r="L564" s="68">
        <v>48.5</v>
      </c>
      <c r="M564" s="69">
        <v>0.216</v>
      </c>
      <c r="N564" s="65">
        <v>6.52</v>
      </c>
      <c r="O564" s="68">
        <v>18.7</v>
      </c>
      <c r="P564" s="69">
        <v>1.2838000000000001</v>
      </c>
      <c r="Q564" s="104">
        <v>0.76534999999999997</v>
      </c>
      <c r="R564" s="108"/>
      <c r="S564" s="87"/>
      <c r="U564" s="88"/>
      <c r="V564" s="87"/>
      <c r="W564" s="87"/>
      <c r="X564" s="108"/>
      <c r="Y564" s="88"/>
      <c r="Z564" s="87"/>
    </row>
    <row r="565" spans="1:26">
      <c r="A565" s="59"/>
      <c r="B565" s="271" t="s">
        <v>65</v>
      </c>
      <c r="C565" s="65"/>
      <c r="D565" s="65"/>
      <c r="E565" s="271"/>
      <c r="F565" s="65">
        <v>5.72</v>
      </c>
      <c r="G565" s="65">
        <v>0.72799999999999998</v>
      </c>
      <c r="H565" s="65">
        <v>16.8</v>
      </c>
      <c r="I565" s="68">
        <v>39.268000000000001</v>
      </c>
      <c r="J565" s="65">
        <v>1.69</v>
      </c>
      <c r="K565" s="68">
        <v>27</v>
      </c>
      <c r="L565" s="68">
        <v>48.1</v>
      </c>
      <c r="M565" s="69">
        <v>0.248</v>
      </c>
      <c r="N565" s="65">
        <v>7.47</v>
      </c>
      <c r="O565" s="68">
        <v>18.5</v>
      </c>
      <c r="P565" s="69">
        <v>2.1804999999999999</v>
      </c>
      <c r="Q565" s="104">
        <v>0.86387000000000003</v>
      </c>
      <c r="R565" s="108"/>
      <c r="S565" s="87"/>
      <c r="U565" s="88"/>
      <c r="V565" s="87"/>
      <c r="W565" s="87"/>
      <c r="X565" s="108"/>
      <c r="Y565" s="88"/>
      <c r="Z565" s="87"/>
    </row>
    <row r="566" spans="1:26">
      <c r="A566" s="59"/>
      <c r="B566" s="271" t="s">
        <v>56</v>
      </c>
      <c r="C566" s="65"/>
      <c r="D566" s="65"/>
      <c r="E566" s="271"/>
      <c r="F566" s="65" t="s">
        <v>135</v>
      </c>
      <c r="G566" s="65" t="s">
        <v>135</v>
      </c>
      <c r="H566" s="65" t="s">
        <v>135</v>
      </c>
      <c r="I566" s="65"/>
      <c r="J566" s="65" t="s">
        <v>135</v>
      </c>
      <c r="K566" s="68" t="s">
        <v>135</v>
      </c>
      <c r="L566" s="68" t="s">
        <v>135</v>
      </c>
      <c r="M566" s="69" t="s">
        <v>135</v>
      </c>
      <c r="N566" s="65" t="s">
        <v>135</v>
      </c>
      <c r="O566" s="68" t="s">
        <v>135</v>
      </c>
      <c r="P566" s="69"/>
      <c r="Q566" s="104"/>
      <c r="R566" s="108"/>
      <c r="U566" s="88"/>
      <c r="V566" s="87"/>
      <c r="W566" s="87"/>
      <c r="X566" s="108"/>
      <c r="Y566" s="88"/>
      <c r="Z566" s="87"/>
    </row>
    <row r="567" spans="1:26">
      <c r="A567" s="59"/>
      <c r="B567" s="271" t="s">
        <v>66</v>
      </c>
      <c r="C567" s="65"/>
      <c r="D567" s="65"/>
      <c r="E567" s="271"/>
      <c r="F567" s="67">
        <v>4.4000000000000004</v>
      </c>
      <c r="G567" s="69">
        <v>0.56000000000000005</v>
      </c>
      <c r="H567" s="65">
        <v>22.9</v>
      </c>
      <c r="I567" s="68">
        <v>54.241</v>
      </c>
      <c r="J567" s="65">
        <v>1.42</v>
      </c>
      <c r="K567" s="68">
        <v>22.7</v>
      </c>
      <c r="L567" s="68">
        <v>50.3</v>
      </c>
      <c r="M567" s="69">
        <v>0.33800000000000002</v>
      </c>
      <c r="N567" s="65">
        <v>8.0299999999999994</v>
      </c>
      <c r="O567" s="68">
        <v>24.6</v>
      </c>
      <c r="P567" s="69">
        <v>0.75245000000000006</v>
      </c>
      <c r="Q567" s="106">
        <v>1.196</v>
      </c>
      <c r="R567" s="108"/>
      <c r="S567" s="87"/>
      <c r="U567" s="88"/>
      <c r="V567" s="87"/>
      <c r="W567" s="87"/>
      <c r="X567" s="108"/>
      <c r="Y567" s="88"/>
      <c r="Z567" s="87"/>
    </row>
    <row r="568" spans="1:26">
      <c r="A568" s="59"/>
      <c r="B568" s="271" t="s">
        <v>67</v>
      </c>
      <c r="C568" s="65"/>
      <c r="D568" s="65"/>
      <c r="E568" s="271"/>
      <c r="F568" s="65">
        <v>5.42</v>
      </c>
      <c r="G568" s="65">
        <v>0.69099999999999995</v>
      </c>
      <c r="H568" s="65">
        <v>22.9</v>
      </c>
      <c r="I568" s="68">
        <v>53.588999999999999</v>
      </c>
      <c r="J568" s="65">
        <v>1.73</v>
      </c>
      <c r="K568" s="68">
        <v>27.7</v>
      </c>
      <c r="L568" s="68">
        <v>50</v>
      </c>
      <c r="M568" s="69">
        <v>0.40699999999999997</v>
      </c>
      <c r="N568" s="65">
        <v>9.67</v>
      </c>
      <c r="O568" s="68">
        <v>24.3</v>
      </c>
      <c r="P568" s="69">
        <v>1.4402000000000001</v>
      </c>
      <c r="Q568" s="106">
        <v>1.4207000000000001</v>
      </c>
      <c r="R568" s="108"/>
      <c r="S568" s="87"/>
      <c r="U568" s="88"/>
      <c r="V568" s="87"/>
      <c r="W568" s="87"/>
      <c r="X568" s="108"/>
      <c r="Y568" s="88"/>
      <c r="Z568" s="87"/>
    </row>
    <row r="569" spans="1:26">
      <c r="A569" s="59"/>
      <c r="B569" s="271" t="s">
        <v>68</v>
      </c>
      <c r="C569" s="65"/>
      <c r="D569" s="65"/>
      <c r="E569" s="271"/>
      <c r="F569" s="65">
        <v>6.42</v>
      </c>
      <c r="G569" s="65">
        <v>0.81799999999999995</v>
      </c>
      <c r="H569" s="65">
        <v>22.8</v>
      </c>
      <c r="I569" s="68">
        <v>52.835999999999999</v>
      </c>
      <c r="J569" s="65">
        <v>2.02</v>
      </c>
      <c r="K569" s="68">
        <v>32.299999999999997</v>
      </c>
      <c r="L569" s="68">
        <v>49.7</v>
      </c>
      <c r="M569" s="69">
        <v>0.47099999999999997</v>
      </c>
      <c r="N569" s="65">
        <v>11.2</v>
      </c>
      <c r="O569" s="68">
        <v>24</v>
      </c>
      <c r="P569" s="69">
        <v>2.4471999999999996</v>
      </c>
      <c r="Q569" s="106">
        <v>1.6196999999999999</v>
      </c>
      <c r="R569" s="108"/>
      <c r="S569" s="87"/>
      <c r="U569" s="88"/>
      <c r="V569" s="87"/>
      <c r="W569" s="87"/>
      <c r="X569" s="108"/>
      <c r="Y569" s="87"/>
      <c r="Z569" s="87"/>
    </row>
    <row r="570" spans="1:26">
      <c r="A570" s="59"/>
      <c r="B570" s="271" t="s">
        <v>56</v>
      </c>
      <c r="C570" s="65"/>
      <c r="D570" s="65"/>
      <c r="E570" s="271"/>
      <c r="F570" s="65" t="s">
        <v>135</v>
      </c>
      <c r="G570" s="65" t="s">
        <v>135</v>
      </c>
      <c r="H570" s="65" t="s">
        <v>135</v>
      </c>
      <c r="I570" s="65"/>
      <c r="J570" s="65" t="s">
        <v>135</v>
      </c>
      <c r="K570" s="68" t="s">
        <v>135</v>
      </c>
      <c r="L570" s="68" t="s">
        <v>135</v>
      </c>
      <c r="M570" s="69" t="s">
        <v>135</v>
      </c>
      <c r="N570" s="65" t="s">
        <v>135</v>
      </c>
      <c r="O570" s="68" t="s">
        <v>135</v>
      </c>
      <c r="P570" s="69"/>
      <c r="Q570" s="106"/>
      <c r="R570" s="108"/>
      <c r="U570" s="88"/>
      <c r="V570" s="87"/>
      <c r="W570" s="87"/>
      <c r="X570" s="108"/>
      <c r="Y570" s="88"/>
      <c r="Z570" s="87"/>
    </row>
    <row r="571" spans="1:26">
      <c r="A571" s="59"/>
      <c r="B571" s="271" t="s">
        <v>69</v>
      </c>
      <c r="C571" s="65"/>
      <c r="D571" s="65"/>
      <c r="E571" s="271"/>
      <c r="F571" s="65">
        <v>4.71</v>
      </c>
      <c r="G571" s="69">
        <v>0.6</v>
      </c>
      <c r="H571" s="65">
        <v>27.2</v>
      </c>
      <c r="I571" s="68">
        <v>63.561999999999998</v>
      </c>
      <c r="J571" s="65">
        <v>1.57</v>
      </c>
      <c r="K571" s="68">
        <v>25.1</v>
      </c>
      <c r="L571" s="68">
        <v>51.1</v>
      </c>
      <c r="M571" s="69">
        <v>0.47599999999999998</v>
      </c>
      <c r="N571" s="65">
        <v>9.9499999999999993</v>
      </c>
      <c r="O571" s="68">
        <v>28.2</v>
      </c>
      <c r="P571" s="69">
        <v>0.8049400000000001</v>
      </c>
      <c r="Q571" s="106">
        <v>1.6772</v>
      </c>
      <c r="R571" s="108"/>
      <c r="S571" s="87"/>
      <c r="U571" s="88"/>
      <c r="V571" s="87"/>
      <c r="W571" s="87"/>
      <c r="X571" s="108"/>
      <c r="Y571" s="88"/>
      <c r="Z571" s="87"/>
    </row>
    <row r="572" spans="1:26">
      <c r="A572" s="59"/>
      <c r="B572" s="271" t="s">
        <v>70</v>
      </c>
      <c r="C572" s="65"/>
      <c r="D572" s="65"/>
      <c r="E572" s="271"/>
      <c r="F572" s="65">
        <v>5.82</v>
      </c>
      <c r="G572" s="65">
        <v>0.74099999999999999</v>
      </c>
      <c r="H572" s="65">
        <v>27.1</v>
      </c>
      <c r="I572" s="68">
        <v>62.704000000000001</v>
      </c>
      <c r="J572" s="65">
        <v>1.92</v>
      </c>
      <c r="K572" s="68">
        <v>30.7</v>
      </c>
      <c r="L572" s="68">
        <v>50.9</v>
      </c>
      <c r="M572" s="69">
        <v>0.57499999999999996</v>
      </c>
      <c r="N572" s="68">
        <v>12</v>
      </c>
      <c r="O572" s="68">
        <v>27.9</v>
      </c>
      <c r="P572" s="67">
        <v>1.5392000000000001</v>
      </c>
      <c r="Q572" s="106">
        <v>1.99</v>
      </c>
      <c r="R572" s="108"/>
      <c r="S572" s="87"/>
      <c r="U572" s="88"/>
      <c r="V572" s="87"/>
      <c r="W572" s="87"/>
      <c r="X572" s="108"/>
      <c r="Y572" s="87"/>
      <c r="Z572" s="87"/>
    </row>
    <row r="573" spans="1:26">
      <c r="A573" s="59"/>
      <c r="B573" s="271" t="s">
        <v>71</v>
      </c>
      <c r="C573" s="65"/>
      <c r="D573" s="65"/>
      <c r="E573" s="271"/>
      <c r="F573" s="65">
        <v>6.89</v>
      </c>
      <c r="G573" s="65">
        <v>0.878</v>
      </c>
      <c r="H573" s="68">
        <v>27</v>
      </c>
      <c r="I573" s="68">
        <v>62.043999999999997</v>
      </c>
      <c r="J573" s="65">
        <v>2.2400000000000002</v>
      </c>
      <c r="K573" s="68">
        <v>35.9</v>
      </c>
      <c r="L573" s="68">
        <v>50.6</v>
      </c>
      <c r="M573" s="69">
        <v>0.66800000000000004</v>
      </c>
      <c r="N573" s="65">
        <v>13.9</v>
      </c>
      <c r="O573" s="68">
        <v>27.6</v>
      </c>
      <c r="P573" s="67">
        <v>2.6381999999999999</v>
      </c>
      <c r="Q573" s="106">
        <v>2.2814000000000001</v>
      </c>
      <c r="R573" s="108"/>
      <c r="S573" s="87"/>
      <c r="U573" s="88"/>
      <c r="V573" s="87"/>
      <c r="W573" s="87"/>
      <c r="X573" s="108"/>
      <c r="Y573" s="87"/>
      <c r="Z573" s="87"/>
    </row>
    <row r="574" spans="1:26">
      <c r="A574" s="59"/>
      <c r="B574" s="271" t="s">
        <v>56</v>
      </c>
      <c r="C574" s="65"/>
      <c r="D574" s="65"/>
      <c r="E574" s="271"/>
      <c r="F574" s="65" t="s">
        <v>135</v>
      </c>
      <c r="G574" s="65" t="s">
        <v>135</v>
      </c>
      <c r="H574" s="65" t="s">
        <v>135</v>
      </c>
      <c r="I574" s="65"/>
      <c r="J574" s="65" t="s">
        <v>135</v>
      </c>
      <c r="K574" s="68" t="s">
        <v>135</v>
      </c>
      <c r="L574" s="68" t="s">
        <v>135</v>
      </c>
      <c r="M574" s="69" t="s">
        <v>135</v>
      </c>
      <c r="N574" s="65" t="s">
        <v>135</v>
      </c>
      <c r="O574" s="68" t="s">
        <v>135</v>
      </c>
      <c r="P574" s="69"/>
      <c r="Q574" s="105"/>
      <c r="R574" s="108"/>
      <c r="U574" s="88"/>
      <c r="V574" s="87"/>
      <c r="W574" s="87"/>
      <c r="X574" s="108"/>
      <c r="Y574" s="88"/>
      <c r="Z574" s="87"/>
    </row>
    <row r="575" spans="1:26">
      <c r="A575" s="59"/>
      <c r="B575" s="271" t="s">
        <v>72</v>
      </c>
      <c r="C575" s="65"/>
      <c r="D575" s="65"/>
      <c r="E575" s="271"/>
      <c r="F575" s="65">
        <v>4.32</v>
      </c>
      <c r="G575" s="69">
        <v>0.55000000000000004</v>
      </c>
      <c r="H575" s="65">
        <v>15.4</v>
      </c>
      <c r="I575" s="68">
        <v>37.804000000000002</v>
      </c>
      <c r="J575" s="65">
        <v>1.83</v>
      </c>
      <c r="K575" s="68">
        <v>24.5</v>
      </c>
      <c r="L575" s="68">
        <v>57.7</v>
      </c>
      <c r="M575" s="69">
        <v>0.192</v>
      </c>
      <c r="N575" s="65">
        <v>5.56</v>
      </c>
      <c r="O575" s="68">
        <v>18.7</v>
      </c>
      <c r="P575" s="69">
        <v>0.73911000000000004</v>
      </c>
      <c r="Q575" s="104">
        <v>0.93672</v>
      </c>
      <c r="R575" s="108"/>
      <c r="S575" s="87"/>
      <c r="U575" s="88"/>
      <c r="V575" s="87"/>
      <c r="W575" s="87"/>
      <c r="X575" s="108"/>
      <c r="Y575" s="88"/>
      <c r="Z575" s="87"/>
    </row>
    <row r="576" spans="1:26">
      <c r="A576" s="59"/>
      <c r="B576" s="271" t="s">
        <v>73</v>
      </c>
      <c r="C576" s="65"/>
      <c r="D576" s="65"/>
      <c r="E576" s="271"/>
      <c r="F576" s="65">
        <v>5.33</v>
      </c>
      <c r="G576" s="65">
        <v>0.67900000000000005</v>
      </c>
      <c r="H576" s="65">
        <v>15.4</v>
      </c>
      <c r="I576" s="68">
        <v>37.073</v>
      </c>
      <c r="J576" s="65">
        <v>2.23</v>
      </c>
      <c r="K576" s="68">
        <v>29.8</v>
      </c>
      <c r="L576" s="68">
        <v>57.4</v>
      </c>
      <c r="M576" s="69">
        <v>0.23</v>
      </c>
      <c r="N576" s="65">
        <v>6.65</v>
      </c>
      <c r="O576" s="68">
        <v>18.399999999999999</v>
      </c>
      <c r="P576" s="67">
        <v>1.4157999999999999</v>
      </c>
      <c r="Q576" s="106">
        <v>1.1040000000000001</v>
      </c>
      <c r="R576" s="108"/>
      <c r="S576" s="87"/>
      <c r="U576" s="88"/>
      <c r="V576" s="87"/>
      <c r="W576" s="87"/>
      <c r="X576" s="108"/>
      <c r="Y576" s="88"/>
      <c r="Z576" s="87"/>
    </row>
    <row r="577" spans="1:26">
      <c r="A577" s="59"/>
      <c r="B577" s="271" t="s">
        <v>74</v>
      </c>
      <c r="C577" s="65"/>
      <c r="D577" s="65"/>
      <c r="E577" s="271"/>
      <c r="F577" s="67">
        <v>6.3</v>
      </c>
      <c r="G577" s="65">
        <v>0.80300000000000005</v>
      </c>
      <c r="H577" s="65">
        <v>15.3</v>
      </c>
      <c r="I577" s="68">
        <v>36.542000000000002</v>
      </c>
      <c r="J577" s="65">
        <v>2.61</v>
      </c>
      <c r="K577" s="68">
        <v>34.799999999999997</v>
      </c>
      <c r="L577" s="68">
        <v>57</v>
      </c>
      <c r="M577" s="69">
        <v>0.26400000000000001</v>
      </c>
      <c r="N577" s="65">
        <v>7.62</v>
      </c>
      <c r="O577" s="68">
        <v>18.100000000000001</v>
      </c>
      <c r="P577" s="67">
        <v>2.3971999999999998</v>
      </c>
      <c r="Q577" s="106">
        <v>1.2553000000000001</v>
      </c>
      <c r="R577" s="108"/>
      <c r="S577" s="87"/>
      <c r="U577" s="88"/>
      <c r="V577" s="87"/>
      <c r="W577" s="87"/>
      <c r="X577" s="108"/>
      <c r="Y577" s="88"/>
      <c r="Z577" s="87"/>
    </row>
    <row r="578" spans="1:26" ht="12.75" customHeight="1">
      <c r="A578" s="59"/>
      <c r="B578" s="271" t="s">
        <v>56</v>
      </c>
      <c r="C578" s="65"/>
      <c r="D578" s="65"/>
      <c r="E578" s="271"/>
      <c r="F578" s="65" t="s">
        <v>135</v>
      </c>
      <c r="G578" s="65" t="s">
        <v>135</v>
      </c>
      <c r="H578" s="65" t="s">
        <v>135</v>
      </c>
      <c r="I578" s="65"/>
      <c r="J578" s="65" t="s">
        <v>135</v>
      </c>
      <c r="K578" s="68" t="s">
        <v>135</v>
      </c>
      <c r="L578" s="68" t="s">
        <v>135</v>
      </c>
      <c r="M578" s="69" t="s">
        <v>135</v>
      </c>
      <c r="N578" s="65" t="s">
        <v>135</v>
      </c>
      <c r="O578" s="68" t="s">
        <v>135</v>
      </c>
      <c r="P578" s="69"/>
      <c r="Q578" s="106"/>
      <c r="R578" s="108"/>
      <c r="U578" s="88"/>
      <c r="V578" s="87"/>
      <c r="W578" s="87"/>
      <c r="X578" s="108"/>
      <c r="Y578" s="88"/>
      <c r="Z578" s="87"/>
    </row>
    <row r="579" spans="1:26">
      <c r="A579" s="59"/>
      <c r="B579" s="271" t="s">
        <v>75</v>
      </c>
      <c r="C579" s="65"/>
      <c r="D579" s="65"/>
      <c r="E579" s="271"/>
      <c r="F579" s="65">
        <v>4.79</v>
      </c>
      <c r="G579" s="69">
        <v>0.61</v>
      </c>
      <c r="H579" s="65">
        <v>21.1</v>
      </c>
      <c r="I579" s="68">
        <v>50.942999999999998</v>
      </c>
      <c r="J579" s="65">
        <v>2.16</v>
      </c>
      <c r="K579" s="68">
        <v>28.8</v>
      </c>
      <c r="L579" s="68">
        <v>59.5</v>
      </c>
      <c r="M579" s="69">
        <v>0.36</v>
      </c>
      <c r="N579" s="65">
        <v>8.2100000000000009</v>
      </c>
      <c r="O579" s="68">
        <v>24.3</v>
      </c>
      <c r="P579" s="69">
        <v>0.81761000000000006</v>
      </c>
      <c r="Q579" s="106">
        <v>1.7237</v>
      </c>
      <c r="R579" s="108"/>
      <c r="S579" s="87"/>
      <c r="U579" s="88"/>
      <c r="V579" s="87"/>
      <c r="W579" s="87"/>
      <c r="X579" s="108"/>
      <c r="Y579" s="88"/>
      <c r="Z579" s="87"/>
    </row>
    <row r="580" spans="1:26">
      <c r="A580" s="59"/>
      <c r="B580" s="271" t="s">
        <v>76</v>
      </c>
      <c r="C580" s="65"/>
      <c r="D580" s="65"/>
      <c r="E580" s="271"/>
      <c r="F580" s="65">
        <v>5.92</v>
      </c>
      <c r="G580" s="65">
        <v>0.754</v>
      </c>
      <c r="H580" s="65">
        <v>21.1</v>
      </c>
      <c r="I580" s="68">
        <v>50.293999999999997</v>
      </c>
      <c r="J580" s="65">
        <v>2.64</v>
      </c>
      <c r="K580" s="68">
        <v>35.200000000000003</v>
      </c>
      <c r="L580" s="68">
        <v>59.2</v>
      </c>
      <c r="M580" s="69">
        <v>0.434</v>
      </c>
      <c r="N580" s="65">
        <v>9.8800000000000008</v>
      </c>
      <c r="O580" s="68">
        <v>24</v>
      </c>
      <c r="P580" s="67">
        <v>1.5702</v>
      </c>
      <c r="Q580" s="106">
        <v>2.0518000000000001</v>
      </c>
      <c r="R580" s="108"/>
      <c r="S580" s="87"/>
      <c r="U580" s="88"/>
      <c r="V580" s="87"/>
      <c r="W580" s="87"/>
      <c r="X580" s="108"/>
      <c r="Y580" s="88"/>
      <c r="Z580" s="87"/>
    </row>
    <row r="581" spans="1:26">
      <c r="A581" s="59"/>
      <c r="B581" s="271" t="s">
        <v>77</v>
      </c>
      <c r="C581" s="65"/>
      <c r="D581" s="65"/>
      <c r="E581" s="271"/>
      <c r="F581" s="65">
        <v>7.01</v>
      </c>
      <c r="G581" s="65">
        <v>0.89300000000000002</v>
      </c>
      <c r="H581" s="68">
        <v>21</v>
      </c>
      <c r="I581" s="68">
        <v>49.644000000000005</v>
      </c>
      <c r="J581" s="67">
        <v>3.1</v>
      </c>
      <c r="K581" s="68">
        <v>41.3</v>
      </c>
      <c r="L581" s="68">
        <v>58.9</v>
      </c>
      <c r="M581" s="69">
        <v>0.502</v>
      </c>
      <c r="N581" s="65">
        <v>11.4</v>
      </c>
      <c r="O581" s="68">
        <v>23.7</v>
      </c>
      <c r="P581" s="67">
        <v>2.6823999999999999</v>
      </c>
      <c r="Q581" s="106">
        <v>2.3456999999999999</v>
      </c>
      <c r="R581" s="108"/>
      <c r="S581" s="87"/>
      <c r="U581" s="88"/>
      <c r="V581" s="87"/>
      <c r="W581" s="87"/>
      <c r="X581" s="108"/>
      <c r="Y581" s="87"/>
      <c r="Z581" s="87"/>
    </row>
    <row r="582" spans="1:26">
      <c r="A582" s="59"/>
      <c r="B582" s="271" t="s">
        <v>78</v>
      </c>
      <c r="C582" s="65"/>
      <c r="D582" s="65"/>
      <c r="E582" s="271"/>
      <c r="F582" s="65">
        <v>8.08</v>
      </c>
      <c r="G582" s="65">
        <v>1.03</v>
      </c>
      <c r="H582" s="68">
        <v>21</v>
      </c>
      <c r="I582" s="68">
        <v>48.891999999999996</v>
      </c>
      <c r="J582" s="65">
        <v>3.53</v>
      </c>
      <c r="K582" s="68">
        <v>47</v>
      </c>
      <c r="L582" s="68">
        <v>58.5</v>
      </c>
      <c r="M582" s="69">
        <v>0.56399999999999995</v>
      </c>
      <c r="N582" s="65">
        <v>12.8</v>
      </c>
      <c r="O582" s="68">
        <v>23.4</v>
      </c>
      <c r="P582" s="67">
        <v>4.1861000000000006</v>
      </c>
      <c r="Q582" s="106">
        <v>2.5895999999999999</v>
      </c>
      <c r="R582" s="88"/>
      <c r="S582" s="87"/>
      <c r="U582" s="88"/>
      <c r="V582" s="87"/>
      <c r="W582" s="87"/>
      <c r="X582" s="108"/>
      <c r="Y582" s="87"/>
      <c r="Z582" s="87"/>
    </row>
    <row r="583" spans="1:26">
      <c r="A583" s="59"/>
      <c r="B583" s="271" t="s">
        <v>56</v>
      </c>
      <c r="C583" s="65"/>
      <c r="D583" s="65"/>
      <c r="E583" s="271"/>
      <c r="F583" s="65" t="s">
        <v>135</v>
      </c>
      <c r="G583" s="65" t="s">
        <v>135</v>
      </c>
      <c r="H583" s="68" t="s">
        <v>135</v>
      </c>
      <c r="I583" s="65"/>
      <c r="J583" s="65" t="s">
        <v>135</v>
      </c>
      <c r="K583" s="68" t="s">
        <v>135</v>
      </c>
      <c r="L583" s="68" t="s">
        <v>135</v>
      </c>
      <c r="M583" s="69" t="s">
        <v>135</v>
      </c>
      <c r="N583" s="65" t="s">
        <v>135</v>
      </c>
      <c r="O583" s="68" t="s">
        <v>135</v>
      </c>
      <c r="P583" s="69"/>
      <c r="Q583" s="106"/>
      <c r="R583" s="108"/>
      <c r="U583" s="88"/>
      <c r="V583" s="87"/>
      <c r="W583" s="87"/>
      <c r="X583" s="108"/>
      <c r="Y583" s="87"/>
      <c r="Z583" s="87"/>
    </row>
    <row r="584" spans="1:26">
      <c r="A584" s="59"/>
      <c r="B584" s="271" t="s">
        <v>79</v>
      </c>
      <c r="C584" s="65"/>
      <c r="D584" s="65"/>
      <c r="E584" s="271"/>
      <c r="F584" s="67">
        <v>5.0999999999999996</v>
      </c>
      <c r="G584" s="69">
        <v>0.65</v>
      </c>
      <c r="H584" s="68">
        <v>25.2</v>
      </c>
      <c r="I584" s="68">
        <v>59.949999999999996</v>
      </c>
      <c r="J584" s="65">
        <v>2.38</v>
      </c>
      <c r="K584" s="68">
        <v>31.8</v>
      </c>
      <c r="L584" s="68">
        <v>60.5</v>
      </c>
      <c r="M584" s="69">
        <v>0.50700000000000001</v>
      </c>
      <c r="N584" s="65">
        <v>10.199999999999999</v>
      </c>
      <c r="O584" s="68">
        <v>27.9</v>
      </c>
      <c r="P584" s="69">
        <v>0.86675999999999997</v>
      </c>
      <c r="Q584" s="106">
        <v>2.4094000000000002</v>
      </c>
      <c r="R584" s="108"/>
      <c r="S584" s="87"/>
      <c r="U584" s="88"/>
      <c r="V584" s="87"/>
      <c r="W584" s="87"/>
      <c r="X584" s="108"/>
      <c r="Y584" s="87"/>
      <c r="Z584" s="87"/>
    </row>
    <row r="585" spans="1:26">
      <c r="A585" s="59"/>
      <c r="B585" s="271" t="s">
        <v>80</v>
      </c>
      <c r="C585" s="65"/>
      <c r="D585" s="65"/>
      <c r="E585" s="271"/>
      <c r="F585" s="65">
        <v>6.31</v>
      </c>
      <c r="G585" s="65">
        <v>0.80400000000000005</v>
      </c>
      <c r="H585" s="68">
        <v>25.1</v>
      </c>
      <c r="I585" s="68">
        <v>59.192</v>
      </c>
      <c r="J585" s="65">
        <v>2.91</v>
      </c>
      <c r="K585" s="68">
        <v>38.799999999999997</v>
      </c>
      <c r="L585" s="68">
        <v>60.2</v>
      </c>
      <c r="M585" s="69">
        <v>0.61399999999999999</v>
      </c>
      <c r="N585" s="65">
        <v>12.3</v>
      </c>
      <c r="O585" s="68">
        <v>27.6</v>
      </c>
      <c r="P585" s="67">
        <v>1.6830000000000001</v>
      </c>
      <c r="Q585" s="106">
        <v>2.8809</v>
      </c>
      <c r="R585" s="108"/>
      <c r="S585" s="87"/>
      <c r="U585" s="88"/>
      <c r="V585" s="87"/>
      <c r="W585" s="87"/>
      <c r="X585" s="108"/>
      <c r="Y585" s="87"/>
      <c r="Z585" s="87"/>
    </row>
    <row r="586" spans="1:26">
      <c r="A586" s="59"/>
      <c r="B586" s="271" t="s">
        <v>81</v>
      </c>
      <c r="C586" s="65"/>
      <c r="D586" s="65"/>
      <c r="E586" s="271"/>
      <c r="F586" s="65">
        <v>7.48</v>
      </c>
      <c r="G586" s="65">
        <v>0.95299999999999996</v>
      </c>
      <c r="H586" s="68">
        <v>25</v>
      </c>
      <c r="I586" s="68">
        <v>58.533000000000001</v>
      </c>
      <c r="J586" s="65">
        <v>3.42</v>
      </c>
      <c r="K586" s="68">
        <v>45.6</v>
      </c>
      <c r="L586" s="68">
        <v>59.9</v>
      </c>
      <c r="M586" s="69">
        <v>0.71299999999999997</v>
      </c>
      <c r="N586" s="65">
        <v>14.3</v>
      </c>
      <c r="O586" s="68">
        <v>27.3</v>
      </c>
      <c r="P586" s="67">
        <v>2.8649</v>
      </c>
      <c r="Q586" s="106">
        <v>3.3022999999999998</v>
      </c>
      <c r="R586" s="108"/>
      <c r="S586" s="87"/>
      <c r="U586" s="88"/>
      <c r="V586" s="87"/>
      <c r="W586" s="87"/>
      <c r="X586" s="108"/>
      <c r="Y586" s="87"/>
      <c r="Z586" s="87"/>
    </row>
    <row r="587" spans="1:26">
      <c r="A587" s="59"/>
      <c r="B587" s="271" t="s">
        <v>82</v>
      </c>
      <c r="C587" s="65"/>
      <c r="D587" s="65"/>
      <c r="E587" s="271"/>
      <c r="F587" s="65">
        <v>8.6300000000000008</v>
      </c>
      <c r="G587" s="67">
        <v>1.1000000000000001</v>
      </c>
      <c r="H587" s="68">
        <v>25</v>
      </c>
      <c r="I587" s="68">
        <v>57.972999999999999</v>
      </c>
      <c r="J587" s="67">
        <v>3.9</v>
      </c>
      <c r="K587" s="68">
        <v>52</v>
      </c>
      <c r="L587" s="68">
        <v>59.6</v>
      </c>
      <c r="M587" s="69">
        <v>0.80400000000000005</v>
      </c>
      <c r="N587" s="65">
        <v>16.100000000000001</v>
      </c>
      <c r="O587" s="68">
        <v>27</v>
      </c>
      <c r="P587" s="67">
        <v>4.4604999999999997</v>
      </c>
      <c r="Q587" s="106">
        <v>3.6928000000000001</v>
      </c>
      <c r="R587" s="88"/>
      <c r="S587" s="87"/>
      <c r="U587" s="88"/>
      <c r="V587" s="87"/>
      <c r="W587" s="87"/>
      <c r="X587" s="108"/>
      <c r="Y587" s="87"/>
      <c r="Z587" s="87"/>
    </row>
    <row r="588" spans="1:26">
      <c r="A588" s="59"/>
      <c r="B588" s="271" t="s">
        <v>56</v>
      </c>
      <c r="C588" s="65"/>
      <c r="D588" s="65"/>
      <c r="E588" s="271"/>
      <c r="F588" s="65" t="s">
        <v>135</v>
      </c>
      <c r="G588" s="65" t="s">
        <v>135</v>
      </c>
      <c r="H588" s="68" t="s">
        <v>135</v>
      </c>
      <c r="I588" s="65"/>
      <c r="J588" s="65" t="s">
        <v>135</v>
      </c>
      <c r="K588" s="68" t="s">
        <v>135</v>
      </c>
      <c r="L588" s="68" t="s">
        <v>135</v>
      </c>
      <c r="M588" s="69" t="s">
        <v>135</v>
      </c>
      <c r="N588" s="65" t="s">
        <v>135</v>
      </c>
      <c r="O588" s="68" t="s">
        <v>135</v>
      </c>
      <c r="P588" s="69"/>
      <c r="Q588" s="106"/>
      <c r="R588" s="108"/>
      <c r="U588" s="88"/>
      <c r="V588" s="87"/>
      <c r="W588" s="87"/>
      <c r="X588" s="108"/>
      <c r="Y588" s="88"/>
      <c r="Z588" s="87"/>
    </row>
    <row r="589" spans="1:26">
      <c r="A589" s="59"/>
      <c r="B589" s="271" t="s">
        <v>83</v>
      </c>
      <c r="C589" s="65"/>
      <c r="D589" s="65"/>
      <c r="E589" s="271"/>
      <c r="F589" s="65">
        <v>4.71</v>
      </c>
      <c r="G589" s="69">
        <v>0.6</v>
      </c>
      <c r="H589" s="68">
        <v>14.2</v>
      </c>
      <c r="I589" s="68">
        <v>35.403999999999996</v>
      </c>
      <c r="J589" s="65">
        <v>2.65</v>
      </c>
      <c r="K589" s="68">
        <v>30.3</v>
      </c>
      <c r="L589" s="68">
        <v>66.400000000000006</v>
      </c>
      <c r="M589" s="69">
        <v>0.20200000000000001</v>
      </c>
      <c r="N589" s="65">
        <v>5.64</v>
      </c>
      <c r="O589" s="68">
        <v>18.3</v>
      </c>
      <c r="P589" s="69">
        <v>0.80449000000000004</v>
      </c>
      <c r="Q589" s="106">
        <v>1.2884</v>
      </c>
      <c r="R589" s="108"/>
      <c r="S589" s="87"/>
      <c r="U589" s="88"/>
      <c r="V589" s="87"/>
      <c r="W589" s="87"/>
      <c r="X589" s="108"/>
      <c r="Y589" s="88"/>
      <c r="Z589" s="87"/>
    </row>
    <row r="590" spans="1:26">
      <c r="A590" s="59"/>
      <c r="B590" s="271" t="s">
        <v>84</v>
      </c>
      <c r="C590" s="65"/>
      <c r="D590" s="65"/>
      <c r="E590" s="271"/>
      <c r="F590" s="65">
        <v>5.82</v>
      </c>
      <c r="G590" s="65">
        <v>0.74099999999999999</v>
      </c>
      <c r="H590" s="68">
        <v>14.2</v>
      </c>
      <c r="I590" s="68">
        <v>34.682000000000002</v>
      </c>
      <c r="J590" s="65">
        <v>3.23</v>
      </c>
      <c r="K590" s="68">
        <v>36.9</v>
      </c>
      <c r="L590" s="68">
        <v>66</v>
      </c>
      <c r="M590" s="69">
        <v>0.24199999999999999</v>
      </c>
      <c r="N590" s="65">
        <v>6.75</v>
      </c>
      <c r="O590" s="68">
        <v>18.100000000000001</v>
      </c>
      <c r="P590" s="67">
        <v>1.5392000000000001</v>
      </c>
      <c r="Q590" s="106">
        <v>1.5237000000000001</v>
      </c>
      <c r="R590" s="108"/>
      <c r="S590" s="87"/>
      <c r="U590" s="88"/>
      <c r="V590" s="87"/>
      <c r="W590" s="87"/>
      <c r="X590" s="108"/>
      <c r="Y590" s="88"/>
      <c r="Z590" s="87"/>
    </row>
    <row r="591" spans="1:26">
      <c r="A591" s="59"/>
      <c r="B591" s="271" t="s">
        <v>85</v>
      </c>
      <c r="C591" s="65"/>
      <c r="D591" s="65"/>
      <c r="E591" s="271"/>
      <c r="F591" s="65">
        <v>6.89</v>
      </c>
      <c r="G591" s="65">
        <v>0.878</v>
      </c>
      <c r="H591" s="68">
        <v>14.2</v>
      </c>
      <c r="I591" s="68">
        <v>34.058999999999997</v>
      </c>
      <c r="J591" s="65">
        <v>3.78</v>
      </c>
      <c r="K591" s="68">
        <v>43.2</v>
      </c>
      <c r="L591" s="68">
        <v>65.599999999999994</v>
      </c>
      <c r="M591" s="69">
        <v>0.27700000000000002</v>
      </c>
      <c r="N591" s="65">
        <v>7.74</v>
      </c>
      <c r="O591" s="68">
        <v>17.8</v>
      </c>
      <c r="P591" s="67">
        <v>2.6381999999999999</v>
      </c>
      <c r="Q591" s="106">
        <v>1.7303999999999999</v>
      </c>
      <c r="R591" s="108"/>
      <c r="S591" s="87"/>
      <c r="U591" s="88"/>
      <c r="V591" s="87"/>
      <c r="W591" s="87"/>
      <c r="X591" s="108"/>
      <c r="Y591" s="88"/>
      <c r="Z591" s="87"/>
    </row>
    <row r="592" spans="1:26">
      <c r="A592" s="59"/>
      <c r="B592" s="271" t="s">
        <v>86</v>
      </c>
      <c r="C592" s="65"/>
      <c r="D592" s="65"/>
      <c r="E592" s="271"/>
      <c r="F592" s="65">
        <v>7.94</v>
      </c>
      <c r="G592" s="65">
        <v>1.01</v>
      </c>
      <c r="H592" s="68">
        <v>14.1</v>
      </c>
      <c r="I592" s="68">
        <v>33.337000000000003</v>
      </c>
      <c r="J592" s="67">
        <v>4.3</v>
      </c>
      <c r="K592" s="68">
        <v>49.2</v>
      </c>
      <c r="L592" s="68">
        <v>65.2</v>
      </c>
      <c r="M592" s="69">
        <v>0.309</v>
      </c>
      <c r="N592" s="65">
        <v>8.6300000000000008</v>
      </c>
      <c r="O592" s="68">
        <v>17.5</v>
      </c>
      <c r="P592" s="67">
        <v>4.1191000000000004</v>
      </c>
      <c r="Q592" s="106">
        <v>1.8977999999999999</v>
      </c>
      <c r="R592" s="88"/>
      <c r="S592" s="87"/>
      <c r="U592" s="88"/>
      <c r="V592" s="87"/>
      <c r="W592" s="87"/>
      <c r="X592" s="108"/>
      <c r="Y592" s="88"/>
      <c r="Z592" s="87"/>
    </row>
    <row r="593" spans="1:26">
      <c r="A593" s="59"/>
      <c r="B593" s="271" t="s">
        <v>56</v>
      </c>
      <c r="C593" s="65"/>
      <c r="D593" s="65"/>
      <c r="E593" s="271"/>
      <c r="F593" s="65" t="s">
        <v>135</v>
      </c>
      <c r="G593" s="65" t="s">
        <v>135</v>
      </c>
      <c r="H593" s="68" t="s">
        <v>135</v>
      </c>
      <c r="I593" s="65"/>
      <c r="J593" s="67" t="s">
        <v>135</v>
      </c>
      <c r="K593" s="68" t="s">
        <v>135</v>
      </c>
      <c r="L593" s="68" t="s">
        <v>135</v>
      </c>
      <c r="M593" s="69" t="s">
        <v>135</v>
      </c>
      <c r="N593" s="65" t="s">
        <v>135</v>
      </c>
      <c r="O593" s="68" t="s">
        <v>135</v>
      </c>
      <c r="P593" s="69"/>
      <c r="Q593" s="106"/>
      <c r="R593" s="108"/>
      <c r="U593" s="88"/>
      <c r="V593" s="87"/>
      <c r="W593" s="87"/>
      <c r="X593" s="108"/>
      <c r="Y593" s="88"/>
      <c r="Z593" s="87"/>
    </row>
    <row r="594" spans="1:26" ht="12.75" customHeight="1">
      <c r="A594" s="59"/>
      <c r="B594" s="271" t="s">
        <v>87</v>
      </c>
      <c r="C594" s="65"/>
      <c r="D594" s="65"/>
      <c r="E594" s="271"/>
      <c r="F594" s="65">
        <v>5.18</v>
      </c>
      <c r="G594" s="69">
        <v>0.66</v>
      </c>
      <c r="H594" s="68">
        <v>19.600000000000001</v>
      </c>
      <c r="I594" s="68">
        <v>48.018000000000001</v>
      </c>
      <c r="J594" s="67">
        <v>3.1</v>
      </c>
      <c r="K594" s="68">
        <v>35.4</v>
      </c>
      <c r="L594" s="68">
        <v>68.5</v>
      </c>
      <c r="M594" s="69">
        <v>0.379</v>
      </c>
      <c r="N594" s="65">
        <v>8.34</v>
      </c>
      <c r="O594" s="68">
        <v>23.9</v>
      </c>
      <c r="P594" s="69">
        <v>0.87985000000000002</v>
      </c>
      <c r="Q594" s="106">
        <v>2.3694999999999999</v>
      </c>
      <c r="R594" s="108"/>
      <c r="S594" s="87"/>
      <c r="U594" s="88"/>
      <c r="V594" s="87"/>
      <c r="W594" s="87"/>
      <c r="X594" s="108"/>
      <c r="Y594" s="88"/>
      <c r="Z594" s="87"/>
    </row>
    <row r="595" spans="1:26">
      <c r="A595" s="59"/>
      <c r="B595" s="271" t="s">
        <v>88</v>
      </c>
      <c r="C595" s="65"/>
      <c r="D595" s="65"/>
      <c r="E595" s="271"/>
      <c r="F595" s="65">
        <v>6.41</v>
      </c>
      <c r="G595" s="65">
        <v>0.81599999999999995</v>
      </c>
      <c r="H595" s="68">
        <v>19.600000000000001</v>
      </c>
      <c r="I595" s="68">
        <v>47.374000000000002</v>
      </c>
      <c r="J595" s="67">
        <v>3.79</v>
      </c>
      <c r="K595" s="68">
        <v>43.3</v>
      </c>
      <c r="L595" s="68">
        <v>68.099999999999994</v>
      </c>
      <c r="M595" s="69">
        <v>0.45700000000000002</v>
      </c>
      <c r="N595" s="65">
        <v>10.1</v>
      </c>
      <c r="O595" s="68">
        <v>23.7</v>
      </c>
      <c r="P595" s="67">
        <v>1.7014</v>
      </c>
      <c r="Q595" s="106">
        <v>2.8285</v>
      </c>
      <c r="R595" s="108"/>
      <c r="S595" s="87"/>
      <c r="U595" s="88"/>
      <c r="V595" s="87"/>
      <c r="W595" s="87"/>
      <c r="X595" s="108"/>
      <c r="Y595" s="87"/>
      <c r="Z595" s="87"/>
    </row>
    <row r="596" spans="1:26">
      <c r="A596" s="59"/>
      <c r="B596" s="271" t="s">
        <v>89</v>
      </c>
      <c r="C596" s="65"/>
      <c r="D596" s="65"/>
      <c r="E596" s="271"/>
      <c r="F596" s="67">
        <v>7.6</v>
      </c>
      <c r="G596" s="65">
        <v>0.96799999999999997</v>
      </c>
      <c r="H596" s="68">
        <v>19.5</v>
      </c>
      <c r="I596" s="68">
        <v>46.728999999999999</v>
      </c>
      <c r="J596" s="67">
        <v>4.45</v>
      </c>
      <c r="K596" s="68">
        <v>50.8</v>
      </c>
      <c r="L596" s="68">
        <v>67.8</v>
      </c>
      <c r="M596" s="69">
        <v>0.52800000000000002</v>
      </c>
      <c r="N596" s="65">
        <v>11.6</v>
      </c>
      <c r="O596" s="68">
        <v>23.4</v>
      </c>
      <c r="P596" s="67">
        <v>2.9026999999999998</v>
      </c>
      <c r="Q596" s="106">
        <v>3.2439</v>
      </c>
      <c r="R596" s="108"/>
      <c r="S596" s="87"/>
      <c r="U596" s="88"/>
      <c r="V596" s="87"/>
      <c r="W596" s="87"/>
      <c r="X596" s="108"/>
      <c r="Y596" s="87"/>
      <c r="Z596" s="87"/>
    </row>
    <row r="597" spans="1:26">
      <c r="A597" s="59"/>
      <c r="B597" s="271" t="s">
        <v>90</v>
      </c>
      <c r="C597" s="65"/>
      <c r="D597" s="65"/>
      <c r="E597" s="271"/>
      <c r="F597" s="65">
        <v>8.76</v>
      </c>
      <c r="G597" s="65">
        <v>1.1200000000000001</v>
      </c>
      <c r="H597" s="68">
        <v>19.5</v>
      </c>
      <c r="I597" s="68">
        <v>45.984000000000002</v>
      </c>
      <c r="J597" s="67">
        <v>5.08</v>
      </c>
      <c r="K597" s="68">
        <v>58</v>
      </c>
      <c r="L597" s="68">
        <v>67.400000000000006</v>
      </c>
      <c r="M597" s="69">
        <v>0.59399999999999997</v>
      </c>
      <c r="N597" s="68">
        <v>13</v>
      </c>
      <c r="O597" s="68">
        <v>23.1</v>
      </c>
      <c r="P597" s="67">
        <v>4.5448999999999993</v>
      </c>
      <c r="Q597" s="106">
        <v>3.5979999999999999</v>
      </c>
      <c r="R597" s="88"/>
      <c r="S597" s="87"/>
      <c r="U597" s="88"/>
      <c r="V597" s="87"/>
      <c r="W597" s="87"/>
      <c r="X597" s="108"/>
      <c r="Y597" s="87"/>
      <c r="Z597" s="87"/>
    </row>
    <row r="598" spans="1:26">
      <c r="A598" s="59"/>
      <c r="B598" s="271" t="s">
        <v>91</v>
      </c>
      <c r="C598" s="65"/>
      <c r="D598" s="65"/>
      <c r="E598" s="271"/>
      <c r="F598" s="68">
        <v>11</v>
      </c>
      <c r="G598" s="67">
        <v>1.4</v>
      </c>
      <c r="H598" s="68">
        <v>19.399999999999999</v>
      </c>
      <c r="I598" s="68">
        <v>44.689</v>
      </c>
      <c r="J598" s="67">
        <v>6.24</v>
      </c>
      <c r="K598" s="68">
        <v>71.3</v>
      </c>
      <c r="L598" s="68">
        <v>66.7</v>
      </c>
      <c r="M598" s="69">
        <v>0.70699999999999996</v>
      </c>
      <c r="N598" s="68">
        <v>15.5</v>
      </c>
      <c r="O598" s="68">
        <v>22.5</v>
      </c>
      <c r="P598" s="67">
        <v>9.3937999999999988</v>
      </c>
      <c r="Q598" s="106">
        <v>4.1723999999999997</v>
      </c>
      <c r="R598" s="88"/>
      <c r="S598" s="87"/>
      <c r="U598" s="88"/>
      <c r="V598" s="87"/>
      <c r="W598" s="87"/>
      <c r="X598" s="108"/>
      <c r="Y598" s="87"/>
      <c r="Z598" s="87"/>
    </row>
    <row r="599" spans="1:26">
      <c r="A599" s="59"/>
      <c r="B599" s="271" t="s">
        <v>56</v>
      </c>
      <c r="C599" s="65"/>
      <c r="D599" s="65"/>
      <c r="E599" s="271"/>
      <c r="F599" s="65" t="s">
        <v>135</v>
      </c>
      <c r="G599" s="65" t="s">
        <v>135</v>
      </c>
      <c r="H599" s="68" t="s">
        <v>135</v>
      </c>
      <c r="I599" s="65"/>
      <c r="J599" s="67" t="s">
        <v>135</v>
      </c>
      <c r="K599" s="68" t="s">
        <v>135</v>
      </c>
      <c r="L599" s="68" t="s">
        <v>135</v>
      </c>
      <c r="M599" s="69" t="s">
        <v>135</v>
      </c>
      <c r="N599" s="68" t="s">
        <v>135</v>
      </c>
      <c r="O599" s="68" t="s">
        <v>135</v>
      </c>
      <c r="P599" s="69"/>
      <c r="Q599" s="106"/>
      <c r="R599" s="108"/>
      <c r="U599" s="88"/>
      <c r="V599" s="87"/>
      <c r="W599" s="87"/>
      <c r="X599" s="108"/>
      <c r="Y599" s="87"/>
      <c r="Z599" s="87"/>
    </row>
    <row r="600" spans="1:26">
      <c r="A600" s="59"/>
      <c r="B600" s="271" t="s">
        <v>92</v>
      </c>
      <c r="C600" s="65"/>
      <c r="D600" s="65"/>
      <c r="E600" s="271"/>
      <c r="F600" s="67">
        <v>6.8</v>
      </c>
      <c r="G600" s="65">
        <v>0.86599999999999999</v>
      </c>
      <c r="H600" s="68">
        <v>23.4</v>
      </c>
      <c r="I600" s="68">
        <v>56.072000000000003</v>
      </c>
      <c r="J600" s="67">
        <v>4.16</v>
      </c>
      <c r="K600" s="68">
        <v>47.6</v>
      </c>
      <c r="L600" s="68">
        <v>69.3</v>
      </c>
      <c r="M600" s="69">
        <v>0.64700000000000002</v>
      </c>
      <c r="N600" s="68">
        <v>12.5</v>
      </c>
      <c r="O600" s="68">
        <v>27.3</v>
      </c>
      <c r="P600" s="67">
        <v>1.8112000000000001</v>
      </c>
      <c r="Q600" s="106">
        <v>3.9788999999999999</v>
      </c>
      <c r="R600" s="108"/>
      <c r="S600" s="87"/>
      <c r="U600" s="88"/>
      <c r="V600" s="87"/>
      <c r="W600" s="87"/>
      <c r="X600" s="108"/>
      <c r="Y600" s="87"/>
      <c r="Z600" s="87"/>
    </row>
    <row r="601" spans="1:26">
      <c r="A601" s="59"/>
      <c r="B601" s="271" t="s">
        <v>93</v>
      </c>
      <c r="C601" s="65"/>
      <c r="D601" s="65"/>
      <c r="E601" s="271"/>
      <c r="F601" s="65">
        <v>8.07</v>
      </c>
      <c r="G601" s="65">
        <v>1.03</v>
      </c>
      <c r="H601" s="68">
        <v>23.3</v>
      </c>
      <c r="I601" s="68">
        <v>55.516000000000005</v>
      </c>
      <c r="J601" s="67">
        <v>4.8899999999999997</v>
      </c>
      <c r="K601" s="68">
        <v>55.9</v>
      </c>
      <c r="L601" s="68">
        <v>69</v>
      </c>
      <c r="M601" s="69">
        <v>0.751</v>
      </c>
      <c r="N601" s="68">
        <v>14.5</v>
      </c>
      <c r="O601" s="68">
        <v>27</v>
      </c>
      <c r="P601" s="67">
        <v>3.0801999999999996</v>
      </c>
      <c r="Q601" s="106">
        <v>4.5834000000000001</v>
      </c>
      <c r="R601" s="88"/>
      <c r="S601" s="87"/>
      <c r="U601" s="88"/>
      <c r="V601" s="87"/>
      <c r="W601" s="87"/>
      <c r="X601" s="108"/>
      <c r="Y601" s="87"/>
      <c r="Z601" s="87"/>
    </row>
    <row r="602" spans="1:26">
      <c r="A602" s="59"/>
      <c r="B602" s="271" t="s">
        <v>94</v>
      </c>
      <c r="C602" s="65"/>
      <c r="D602" s="65"/>
      <c r="E602" s="271"/>
      <c r="F602" s="65">
        <v>9.31</v>
      </c>
      <c r="G602" s="65">
        <v>1.19</v>
      </c>
      <c r="H602" s="68">
        <v>23.3</v>
      </c>
      <c r="I602" s="68">
        <v>54.66</v>
      </c>
      <c r="J602" s="67">
        <v>5.59</v>
      </c>
      <c r="K602" s="68">
        <v>63.9</v>
      </c>
      <c r="L602" s="68">
        <v>68.599999999999994</v>
      </c>
      <c r="M602" s="69">
        <v>0.84799999999999998</v>
      </c>
      <c r="N602" s="68">
        <v>16.399999999999999</v>
      </c>
      <c r="O602" s="68">
        <v>26.7</v>
      </c>
      <c r="P602" s="67">
        <v>4.8443999999999994</v>
      </c>
      <c r="Q602" s="106">
        <v>5.0918999999999999</v>
      </c>
      <c r="R602" s="88"/>
      <c r="S602" s="87"/>
      <c r="U602" s="88"/>
      <c r="V602" s="87"/>
      <c r="W602" s="87"/>
      <c r="X602" s="108"/>
      <c r="Y602" s="87"/>
      <c r="Z602" s="87"/>
    </row>
    <row r="603" spans="1:26">
      <c r="A603" s="59"/>
      <c r="B603" s="271" t="s">
        <v>95</v>
      </c>
      <c r="C603" s="65"/>
      <c r="D603" s="65"/>
      <c r="E603" s="271"/>
      <c r="F603" s="65">
        <v>11.7</v>
      </c>
      <c r="G603" s="65">
        <v>1.49</v>
      </c>
      <c r="H603" s="68">
        <v>23.1</v>
      </c>
      <c r="I603" s="68">
        <v>53.343999999999994</v>
      </c>
      <c r="J603" s="67">
        <v>6.89</v>
      </c>
      <c r="K603" s="68">
        <v>78.7</v>
      </c>
      <c r="L603" s="68">
        <v>68</v>
      </c>
      <c r="M603" s="65">
        <v>1.02</v>
      </c>
      <c r="N603" s="68">
        <v>19.600000000000001</v>
      </c>
      <c r="O603" s="68">
        <v>26.1</v>
      </c>
      <c r="P603" s="68">
        <v>10.039</v>
      </c>
      <c r="Q603" s="106">
        <v>5.9851999999999999</v>
      </c>
      <c r="R603" s="88"/>
      <c r="S603" s="87"/>
      <c r="U603" s="88"/>
      <c r="V603" s="87"/>
      <c r="W603" s="87"/>
      <c r="X603" s="108"/>
      <c r="Y603" s="87"/>
      <c r="Z603" s="87"/>
    </row>
    <row r="604" spans="1:26">
      <c r="A604" s="59"/>
      <c r="B604" s="271" t="s">
        <v>56</v>
      </c>
      <c r="C604" s="65"/>
      <c r="D604" s="65"/>
      <c r="E604" s="271"/>
      <c r="F604" s="65" t="s">
        <v>135</v>
      </c>
      <c r="G604" s="65" t="s">
        <v>135</v>
      </c>
      <c r="H604" s="68" t="s">
        <v>135</v>
      </c>
      <c r="I604" s="65"/>
      <c r="J604" s="67" t="s">
        <v>135</v>
      </c>
      <c r="K604" s="68" t="s">
        <v>135</v>
      </c>
      <c r="L604" s="68" t="s">
        <v>135</v>
      </c>
      <c r="M604" s="65" t="s">
        <v>135</v>
      </c>
      <c r="N604" s="68" t="s">
        <v>135</v>
      </c>
      <c r="O604" s="68" t="s">
        <v>135</v>
      </c>
      <c r="P604" s="69"/>
      <c r="Q604" s="106"/>
      <c r="R604" s="108"/>
      <c r="U604" s="88"/>
      <c r="V604" s="87"/>
      <c r="W604" s="87"/>
      <c r="X604" s="108"/>
      <c r="Y604" s="87"/>
      <c r="Z604" s="87"/>
    </row>
    <row r="605" spans="1:26">
      <c r="A605" s="59"/>
      <c r="B605" s="271" t="s">
        <v>96</v>
      </c>
      <c r="C605" s="65"/>
      <c r="D605" s="65"/>
      <c r="E605" s="271"/>
      <c r="F605" s="65">
        <v>7.29</v>
      </c>
      <c r="G605" s="65">
        <v>0.92900000000000005</v>
      </c>
      <c r="H605" s="68">
        <v>21.9</v>
      </c>
      <c r="I605" s="68">
        <v>53.281999999999996</v>
      </c>
      <c r="J605" s="67">
        <v>5.68</v>
      </c>
      <c r="K605" s="68">
        <v>56.8</v>
      </c>
      <c r="L605" s="68">
        <v>78.2</v>
      </c>
      <c r="M605" s="65">
        <v>0.67600000000000005</v>
      </c>
      <c r="N605" s="68">
        <v>12.7</v>
      </c>
      <c r="O605" s="68">
        <v>27</v>
      </c>
      <c r="P605" s="67">
        <v>1.9462000000000002</v>
      </c>
      <c r="Q605" s="106">
        <v>5.3060999999999998</v>
      </c>
      <c r="R605" s="108"/>
      <c r="S605" s="87"/>
      <c r="U605" s="88"/>
      <c r="V605" s="87"/>
      <c r="W605" s="87"/>
      <c r="X605" s="108"/>
      <c r="Y605" s="87"/>
      <c r="Z605" s="87"/>
    </row>
    <row r="606" spans="1:26">
      <c r="A606" s="59"/>
      <c r="B606" s="271" t="s">
        <v>97</v>
      </c>
      <c r="C606" s="65"/>
      <c r="D606" s="65"/>
      <c r="E606" s="271"/>
      <c r="F606" s="65">
        <v>8.66</v>
      </c>
      <c r="G606" s="67">
        <v>1.1000000000000001</v>
      </c>
      <c r="H606" s="68">
        <v>21.8</v>
      </c>
      <c r="I606" s="68">
        <v>52.632999999999996</v>
      </c>
      <c r="J606" s="67">
        <v>6.69</v>
      </c>
      <c r="K606" s="68">
        <v>66.900000000000006</v>
      </c>
      <c r="L606" s="68">
        <v>77.900000000000006</v>
      </c>
      <c r="M606" s="65">
        <v>0.78500000000000003</v>
      </c>
      <c r="N606" s="68">
        <v>14.8</v>
      </c>
      <c r="O606" s="68">
        <v>26.7</v>
      </c>
      <c r="P606" s="67">
        <v>3.3113000000000001</v>
      </c>
      <c r="Q606" s="106">
        <v>6.0957999999999997</v>
      </c>
      <c r="R606" s="88"/>
      <c r="S606" s="87"/>
      <c r="U606" s="88"/>
      <c r="V606" s="87"/>
      <c r="W606" s="87"/>
      <c r="X606" s="108"/>
      <c r="Y606" s="87"/>
      <c r="Z606" s="87"/>
    </row>
    <row r="607" spans="1:26">
      <c r="A607" s="59"/>
      <c r="B607" s="271" t="s">
        <v>98</v>
      </c>
      <c r="C607" s="65"/>
      <c r="D607" s="65"/>
      <c r="E607" s="271"/>
      <c r="F607" s="65">
        <v>10</v>
      </c>
      <c r="G607" s="65">
        <v>1.27</v>
      </c>
      <c r="H607" s="68">
        <v>21.8</v>
      </c>
      <c r="I607" s="68">
        <v>51.983000000000004</v>
      </c>
      <c r="J607" s="67">
        <v>7.65</v>
      </c>
      <c r="K607" s="68">
        <v>76.5</v>
      </c>
      <c r="L607" s="68">
        <v>77.5</v>
      </c>
      <c r="M607" s="65">
        <v>0.88600000000000001</v>
      </c>
      <c r="N607" s="68">
        <v>16.600000000000001</v>
      </c>
      <c r="O607" s="68">
        <v>26.4</v>
      </c>
      <c r="P607" s="67">
        <v>5.2138999999999998</v>
      </c>
      <c r="Q607" s="106">
        <v>6.8205</v>
      </c>
      <c r="R607" s="88"/>
      <c r="S607" s="87"/>
      <c r="U607" s="88"/>
      <c r="V607" s="87"/>
      <c r="W607" s="87"/>
      <c r="X607" s="108"/>
      <c r="Y607" s="87"/>
      <c r="Z607" s="87"/>
    </row>
    <row r="608" spans="1:26">
      <c r="A608" s="59"/>
      <c r="B608" s="271" t="s">
        <v>99</v>
      </c>
      <c r="C608" s="65"/>
      <c r="D608" s="65"/>
      <c r="E608" s="271"/>
      <c r="F608" s="65">
        <v>12.6</v>
      </c>
      <c r="G608" s="67">
        <v>1.6</v>
      </c>
      <c r="H608" s="68">
        <v>21.7</v>
      </c>
      <c r="I608" s="68">
        <v>50.578000000000003</v>
      </c>
      <c r="J608" s="67">
        <v>9.4499999999999993</v>
      </c>
      <c r="K608" s="68">
        <v>94.5</v>
      </c>
      <c r="L608" s="68">
        <v>76.8</v>
      </c>
      <c r="M608" s="65">
        <v>1.06</v>
      </c>
      <c r="N608" s="68">
        <v>19.899999999999999</v>
      </c>
      <c r="O608" s="68">
        <v>25.7</v>
      </c>
      <c r="P608" s="68">
        <v>10.808</v>
      </c>
      <c r="Q608" s="106">
        <v>8.0297000000000001</v>
      </c>
      <c r="R608" s="88"/>
      <c r="S608" s="87"/>
      <c r="U608" s="88"/>
      <c r="V608" s="87"/>
      <c r="W608" s="87"/>
      <c r="X608" s="88"/>
      <c r="Y608" s="87"/>
      <c r="Z608" s="87"/>
    </row>
    <row r="609" spans="1:26">
      <c r="A609" s="59"/>
      <c r="B609" s="271"/>
      <c r="C609" s="65"/>
      <c r="D609" s="65"/>
      <c r="E609" s="271"/>
      <c r="F609" s="65"/>
      <c r="G609" s="65"/>
      <c r="H609" s="68"/>
      <c r="I609" s="65"/>
      <c r="J609" s="67"/>
      <c r="K609" s="68"/>
      <c r="L609" s="68"/>
      <c r="M609" s="65"/>
      <c r="N609" s="68"/>
      <c r="O609" s="68"/>
      <c r="P609" s="69"/>
      <c r="Q609" s="106"/>
      <c r="R609" s="88"/>
      <c r="U609" s="88"/>
      <c r="V609" s="87"/>
      <c r="W609" s="87"/>
      <c r="X609" s="88"/>
      <c r="Y609" s="87"/>
      <c r="Z609" s="87"/>
    </row>
    <row r="610" spans="1:26">
      <c r="A610" s="59"/>
      <c r="B610" s="276" t="s">
        <v>393</v>
      </c>
      <c r="C610" s="71"/>
      <c r="D610" s="71"/>
      <c r="E610" s="276"/>
      <c r="F610" s="65">
        <v>8.27</v>
      </c>
      <c r="G610" s="65">
        <v>1.05</v>
      </c>
      <c r="H610" s="68">
        <v>31.5</v>
      </c>
      <c r="I610" s="68">
        <v>75.189000000000007</v>
      </c>
      <c r="J610" s="67">
        <v>6.9</v>
      </c>
      <c r="K610" s="68">
        <v>69</v>
      </c>
      <c r="L610" s="68">
        <v>80.900000000000006</v>
      </c>
      <c r="M610" s="65">
        <v>1.37</v>
      </c>
      <c r="N610" s="68">
        <v>20</v>
      </c>
      <c r="O610" s="68">
        <v>36</v>
      </c>
      <c r="P610" s="67">
        <v>2.2098</v>
      </c>
      <c r="Q610" s="107">
        <v>10.643000000000001</v>
      </c>
      <c r="R610" s="88"/>
      <c r="S610" s="87"/>
      <c r="U610" s="88"/>
      <c r="V610" s="87"/>
      <c r="W610" s="87"/>
      <c r="X610" s="88"/>
      <c r="Y610" s="87"/>
      <c r="Z610" s="87"/>
    </row>
    <row r="611" spans="1:26">
      <c r="A611" s="59"/>
      <c r="B611" s="276" t="s">
        <v>394</v>
      </c>
      <c r="C611" s="71"/>
      <c r="D611" s="71"/>
      <c r="E611" s="276"/>
      <c r="F611" s="65">
        <v>9.84</v>
      </c>
      <c r="G611" s="65">
        <v>1.25</v>
      </c>
      <c r="H611" s="68">
        <v>31.4</v>
      </c>
      <c r="I611" s="68">
        <v>74.319999999999993</v>
      </c>
      <c r="J611" s="67">
        <v>8.14</v>
      </c>
      <c r="K611" s="68">
        <v>81.400000000000006</v>
      </c>
      <c r="L611" s="68">
        <v>80.599999999999994</v>
      </c>
      <c r="M611" s="67">
        <v>1.6</v>
      </c>
      <c r="N611" s="65">
        <v>23.3</v>
      </c>
      <c r="O611" s="68">
        <v>35.700000000000003</v>
      </c>
      <c r="P611" s="67">
        <v>3.7869000000000002</v>
      </c>
      <c r="Q611" s="107">
        <v>12.275</v>
      </c>
      <c r="R611" s="88"/>
      <c r="S611" s="87"/>
      <c r="U611" s="88"/>
      <c r="V611" s="87"/>
      <c r="W611" s="87"/>
      <c r="X611" s="88"/>
      <c r="Y611" s="87"/>
      <c r="Z611" s="87"/>
    </row>
    <row r="612" spans="1:26">
      <c r="A612" s="59"/>
      <c r="B612" s="276" t="s">
        <v>395</v>
      </c>
      <c r="C612" s="71"/>
      <c r="D612" s="71"/>
      <c r="E612" s="276"/>
      <c r="F612" s="65">
        <v>11.4</v>
      </c>
      <c r="G612" s="65">
        <v>1.45</v>
      </c>
      <c r="H612" s="68">
        <v>31.4</v>
      </c>
      <c r="I612" s="68">
        <v>73.549000000000007</v>
      </c>
      <c r="J612" s="67">
        <v>9.34</v>
      </c>
      <c r="K612" s="68">
        <v>93.4</v>
      </c>
      <c r="L612" s="68">
        <v>80.3</v>
      </c>
      <c r="M612" s="65">
        <v>1.82</v>
      </c>
      <c r="N612" s="65">
        <v>26.5</v>
      </c>
      <c r="O612" s="68">
        <v>35.4</v>
      </c>
      <c r="P612" s="67">
        <v>5.8941999999999997</v>
      </c>
      <c r="Q612" s="107">
        <v>13.773</v>
      </c>
      <c r="R612" s="88"/>
      <c r="S612" s="87"/>
      <c r="U612" s="88"/>
      <c r="V612" s="87"/>
      <c r="W612" s="87"/>
      <c r="X612" s="88"/>
      <c r="Y612" s="87"/>
      <c r="Z612" s="87"/>
    </row>
    <row r="613" spans="1:26">
      <c r="A613" s="59"/>
      <c r="B613" s="276" t="s">
        <v>432</v>
      </c>
      <c r="C613" s="71"/>
      <c r="D613" s="71"/>
      <c r="E613" s="276"/>
      <c r="F613" s="65">
        <v>14.4</v>
      </c>
      <c r="G613" s="65">
        <v>1.83</v>
      </c>
      <c r="H613" s="68">
        <v>31.2</v>
      </c>
      <c r="I613" s="68">
        <v>72.204000000000008</v>
      </c>
      <c r="J613" s="65">
        <v>11.6</v>
      </c>
      <c r="K613" s="65">
        <v>116</v>
      </c>
      <c r="L613" s="68">
        <v>79.599999999999994</v>
      </c>
      <c r="M613" s="65">
        <v>2.21</v>
      </c>
      <c r="N613" s="65">
        <v>32.1</v>
      </c>
      <c r="O613" s="68">
        <v>34.700000000000003</v>
      </c>
      <c r="P613" s="68">
        <v>12.331</v>
      </c>
      <c r="Q613" s="107">
        <v>16.513999999999999</v>
      </c>
      <c r="R613" s="88"/>
      <c r="S613" s="87"/>
      <c r="U613" s="87"/>
      <c r="V613" s="89"/>
      <c r="W613" s="87"/>
      <c r="X613" s="88"/>
      <c r="Y613" s="87"/>
      <c r="Z613" s="87"/>
    </row>
    <row r="614" spans="1:26">
      <c r="A614" s="59"/>
      <c r="B614" s="271" t="s">
        <v>56</v>
      </c>
      <c r="C614" s="65"/>
      <c r="D614" s="65"/>
      <c r="E614" s="271"/>
      <c r="F614" s="65" t="s">
        <v>135</v>
      </c>
      <c r="G614" s="65" t="s">
        <v>135</v>
      </c>
      <c r="H614" s="68" t="s">
        <v>135</v>
      </c>
      <c r="I614" s="65"/>
      <c r="J614" s="65" t="s">
        <v>135</v>
      </c>
      <c r="K614" s="65" t="s">
        <v>135</v>
      </c>
      <c r="L614" s="68" t="s">
        <v>135</v>
      </c>
      <c r="M614" s="65" t="s">
        <v>135</v>
      </c>
      <c r="N614" s="65" t="s">
        <v>135</v>
      </c>
      <c r="O614" s="68" t="s">
        <v>135</v>
      </c>
      <c r="P614" s="67"/>
      <c r="Q614" s="105"/>
      <c r="R614" s="108"/>
      <c r="U614" s="88"/>
      <c r="V614" s="87"/>
      <c r="W614" s="87"/>
      <c r="X614" s="108"/>
      <c r="Y614" s="87"/>
      <c r="Z614" s="87"/>
    </row>
    <row r="615" spans="1:26">
      <c r="A615" s="59"/>
      <c r="B615" s="271" t="s">
        <v>100</v>
      </c>
      <c r="C615" s="65"/>
      <c r="D615" s="65"/>
      <c r="E615" s="271"/>
      <c r="F615" s="65">
        <v>7.78</v>
      </c>
      <c r="G615" s="65">
        <v>0.99099999999999999</v>
      </c>
      <c r="H615" s="68">
        <v>20.6</v>
      </c>
      <c r="I615" s="68">
        <v>50.780999999999999</v>
      </c>
      <c r="J615" s="65">
        <v>7.49</v>
      </c>
      <c r="K615" s="68">
        <v>66.599999999999994</v>
      </c>
      <c r="L615" s="68">
        <v>86.9</v>
      </c>
      <c r="M615" s="65">
        <v>0.70099999999999996</v>
      </c>
      <c r="N615" s="65">
        <v>12.9</v>
      </c>
      <c r="O615" s="68">
        <v>26.6</v>
      </c>
      <c r="P615" s="67">
        <v>2.0682</v>
      </c>
      <c r="Q615" s="106">
        <v>6.8597999999999999</v>
      </c>
      <c r="R615" s="108"/>
      <c r="S615" s="87"/>
      <c r="U615" s="88"/>
      <c r="V615" s="87"/>
      <c r="W615" s="87"/>
      <c r="X615" s="108"/>
      <c r="Y615" s="87"/>
      <c r="Z615" s="87"/>
    </row>
    <row r="616" spans="1:26">
      <c r="A616" s="59"/>
      <c r="B616" s="271" t="s">
        <v>101</v>
      </c>
      <c r="C616" s="65"/>
      <c r="D616" s="65"/>
      <c r="E616" s="271"/>
      <c r="F616" s="65">
        <v>9.25</v>
      </c>
      <c r="G616" s="65">
        <v>1.18</v>
      </c>
      <c r="H616" s="68">
        <v>20.5</v>
      </c>
      <c r="I616" s="68">
        <v>50.138000000000005</v>
      </c>
      <c r="J616" s="65">
        <v>8.83</v>
      </c>
      <c r="K616" s="65">
        <v>78.400000000000006</v>
      </c>
      <c r="L616" s="68">
        <v>86.6</v>
      </c>
      <c r="M616" s="65">
        <v>0.81399999999999995</v>
      </c>
      <c r="N616" s="65">
        <v>14.9</v>
      </c>
      <c r="O616" s="68">
        <v>26.3</v>
      </c>
      <c r="P616" s="67">
        <v>3.5548000000000002</v>
      </c>
      <c r="Q616" s="106">
        <v>7.9058000000000002</v>
      </c>
      <c r="R616" s="88"/>
      <c r="S616" s="87"/>
      <c r="U616" s="88"/>
      <c r="V616" s="87"/>
      <c r="W616" s="87"/>
      <c r="X616" s="108"/>
      <c r="Y616" s="87"/>
      <c r="Z616" s="87"/>
    </row>
    <row r="617" spans="1:26">
      <c r="A617" s="59"/>
      <c r="B617" s="271" t="s">
        <v>102</v>
      </c>
      <c r="C617" s="65"/>
      <c r="D617" s="65"/>
      <c r="E617" s="271"/>
      <c r="F617" s="65">
        <v>10.7</v>
      </c>
      <c r="G617" s="65">
        <v>1.36</v>
      </c>
      <c r="H617" s="68">
        <v>20.5</v>
      </c>
      <c r="I617" s="68">
        <v>49.495000000000005</v>
      </c>
      <c r="J617" s="65">
        <v>10.1</v>
      </c>
      <c r="K617" s="65">
        <v>89.9</v>
      </c>
      <c r="L617" s="68">
        <v>86.2</v>
      </c>
      <c r="M617" s="65">
        <v>0.91900000000000004</v>
      </c>
      <c r="N617" s="65">
        <v>16.899999999999999</v>
      </c>
      <c r="O617" s="68">
        <v>26</v>
      </c>
      <c r="P617" s="67">
        <v>5.5633999999999997</v>
      </c>
      <c r="Q617" s="106">
        <v>8.8455999999999992</v>
      </c>
      <c r="R617" s="88"/>
      <c r="S617" s="87"/>
      <c r="U617" s="87"/>
      <c r="V617" s="87"/>
      <c r="W617" s="87"/>
      <c r="X617" s="108"/>
      <c r="Y617" s="87"/>
      <c r="Z617" s="87"/>
    </row>
    <row r="618" spans="1:26">
      <c r="A618" s="59"/>
      <c r="B618" s="271" t="s">
        <v>103</v>
      </c>
      <c r="C618" s="65"/>
      <c r="D618" s="65"/>
      <c r="E618" s="271"/>
      <c r="F618" s="65">
        <v>13.5</v>
      </c>
      <c r="G618" s="65">
        <v>1.72</v>
      </c>
      <c r="H618" s="68">
        <v>20.399999999999999</v>
      </c>
      <c r="I618" s="68">
        <v>48.105000000000004</v>
      </c>
      <c r="J618" s="65">
        <v>12.5</v>
      </c>
      <c r="K618" s="65">
        <v>111</v>
      </c>
      <c r="L618" s="68">
        <v>85.4</v>
      </c>
      <c r="M618" s="67">
        <v>1.1000000000000001</v>
      </c>
      <c r="N618" s="65">
        <v>20.2</v>
      </c>
      <c r="O618" s="68">
        <v>25.3</v>
      </c>
      <c r="P618" s="68">
        <v>11.552</v>
      </c>
      <c r="Q618" s="107">
        <v>10.407</v>
      </c>
      <c r="R618" s="88"/>
      <c r="S618" s="87"/>
      <c r="U618" s="87"/>
      <c r="V618" s="89"/>
      <c r="W618" s="87"/>
      <c r="X618" s="88"/>
      <c r="Y618" s="87"/>
      <c r="Z618" s="87"/>
    </row>
    <row r="619" spans="1:26">
      <c r="A619" s="59"/>
      <c r="B619" s="271"/>
      <c r="C619" s="65"/>
      <c r="D619" s="65"/>
      <c r="E619" s="271"/>
      <c r="F619" s="65"/>
      <c r="G619" s="65"/>
      <c r="H619" s="68"/>
      <c r="I619" s="65"/>
      <c r="J619" s="65"/>
      <c r="K619" s="65"/>
      <c r="L619" s="68"/>
      <c r="M619" s="65"/>
      <c r="N619" s="65"/>
      <c r="O619" s="68"/>
      <c r="P619" s="67"/>
      <c r="Q619" s="107"/>
      <c r="R619" s="88"/>
      <c r="U619" s="88"/>
      <c r="V619" s="87"/>
      <c r="W619" s="87"/>
      <c r="X619" s="88"/>
      <c r="Y619" s="87"/>
      <c r="Z619" s="87"/>
    </row>
    <row r="620" spans="1:26">
      <c r="A620" s="59"/>
      <c r="B620" s="271" t="s">
        <v>433</v>
      </c>
      <c r="C620" s="65"/>
      <c r="D620" s="65"/>
      <c r="E620" s="271"/>
      <c r="F620" s="65">
        <v>8.76</v>
      </c>
      <c r="G620" s="65">
        <v>1.1200000000000001</v>
      </c>
      <c r="H620" s="68">
        <v>29.8</v>
      </c>
      <c r="I620" s="68">
        <v>72.096000000000004</v>
      </c>
      <c r="J620" s="65">
        <v>9.0399999999999991</v>
      </c>
      <c r="K620" s="65">
        <v>80.3</v>
      </c>
      <c r="L620" s="68">
        <v>90</v>
      </c>
      <c r="M620" s="65">
        <v>1.42</v>
      </c>
      <c r="N620" s="65">
        <v>20.3</v>
      </c>
      <c r="O620" s="68">
        <v>35.700000000000003</v>
      </c>
      <c r="P620" s="67">
        <v>2.335</v>
      </c>
      <c r="Q620" s="107">
        <v>13.73</v>
      </c>
      <c r="R620" s="88"/>
      <c r="S620" s="87"/>
      <c r="U620" s="88"/>
      <c r="V620" s="87"/>
      <c r="W620" s="87"/>
      <c r="X620" s="88"/>
      <c r="Y620" s="87"/>
      <c r="Z620" s="87"/>
    </row>
    <row r="621" spans="1:26">
      <c r="A621" s="59"/>
      <c r="B621" s="271" t="s">
        <v>434</v>
      </c>
      <c r="C621" s="65"/>
      <c r="D621" s="65"/>
      <c r="E621" s="271"/>
      <c r="F621" s="65">
        <v>10.4</v>
      </c>
      <c r="G621" s="65">
        <v>1.33</v>
      </c>
      <c r="H621" s="68">
        <v>29.7</v>
      </c>
      <c r="I621" s="68">
        <v>71.23</v>
      </c>
      <c r="J621" s="65">
        <v>10.7</v>
      </c>
      <c r="K621" s="65">
        <v>94.9</v>
      </c>
      <c r="L621" s="68">
        <v>89.6</v>
      </c>
      <c r="M621" s="65">
        <v>1.66</v>
      </c>
      <c r="N621" s="65">
        <v>23.7</v>
      </c>
      <c r="O621" s="68">
        <v>35.4</v>
      </c>
      <c r="P621" s="67">
        <v>4.0091999999999999</v>
      </c>
      <c r="Q621" s="107">
        <v>15.868</v>
      </c>
      <c r="R621" s="88"/>
      <c r="S621" s="87"/>
      <c r="U621" s="87"/>
      <c r="V621" s="87"/>
      <c r="W621" s="87"/>
      <c r="X621" s="88"/>
      <c r="Y621" s="87"/>
      <c r="Z621" s="87"/>
    </row>
    <row r="622" spans="1:26">
      <c r="A622" s="59"/>
      <c r="B622" s="271" t="s">
        <v>435</v>
      </c>
      <c r="C622" s="65"/>
      <c r="D622" s="65"/>
      <c r="E622" s="271"/>
      <c r="F622" s="65">
        <v>12.1</v>
      </c>
      <c r="G622" s="65">
        <v>1.54</v>
      </c>
      <c r="H622" s="68">
        <v>29.7</v>
      </c>
      <c r="I622" s="68">
        <v>70.563000000000002</v>
      </c>
      <c r="J622" s="65">
        <v>12.3</v>
      </c>
      <c r="K622" s="65">
        <v>109</v>
      </c>
      <c r="L622" s="68">
        <v>89.3</v>
      </c>
      <c r="M622" s="65">
        <v>1.89</v>
      </c>
      <c r="N622" s="65">
        <v>26.8</v>
      </c>
      <c r="O622" s="68">
        <v>35.1</v>
      </c>
      <c r="P622" s="67">
        <v>6.2751000000000001</v>
      </c>
      <c r="Q622" s="107">
        <v>17.873999999999999</v>
      </c>
      <c r="R622" s="88"/>
      <c r="S622" s="87"/>
      <c r="U622" s="87"/>
      <c r="V622" s="89"/>
      <c r="W622" s="87"/>
      <c r="X622" s="88"/>
      <c r="Y622" s="87"/>
      <c r="Z622" s="87"/>
    </row>
    <row r="623" spans="1:26">
      <c r="A623" s="59"/>
      <c r="B623" s="271" t="s">
        <v>436</v>
      </c>
      <c r="C623" s="65"/>
      <c r="D623" s="65"/>
      <c r="E623" s="271"/>
      <c r="F623" s="65">
        <v>15.2</v>
      </c>
      <c r="G623" s="65">
        <v>1.94</v>
      </c>
      <c r="H623" s="68">
        <v>29.5</v>
      </c>
      <c r="I623" s="68">
        <v>69.227000000000004</v>
      </c>
      <c r="J623" s="65">
        <v>15.2</v>
      </c>
      <c r="K623" s="65">
        <v>136</v>
      </c>
      <c r="L623" s="68">
        <v>88.6</v>
      </c>
      <c r="M623" s="65">
        <v>2.2999999999999998</v>
      </c>
      <c r="N623" s="65">
        <v>32.6</v>
      </c>
      <c r="O623" s="68">
        <v>34.4</v>
      </c>
      <c r="P623" s="68">
        <v>13.071</v>
      </c>
      <c r="Q623" s="107">
        <v>21.44</v>
      </c>
      <c r="R623" s="88"/>
      <c r="S623" s="87"/>
      <c r="U623" s="87"/>
      <c r="V623" s="89"/>
      <c r="W623" s="87"/>
      <c r="X623" s="88"/>
      <c r="Y623" s="87"/>
      <c r="Z623" s="87"/>
    </row>
    <row r="624" spans="1:26">
      <c r="A624" s="59"/>
      <c r="B624" s="271"/>
      <c r="C624" s="65"/>
      <c r="D624" s="65"/>
      <c r="E624" s="271"/>
      <c r="F624" s="65"/>
      <c r="G624" s="65"/>
      <c r="H624" s="68"/>
      <c r="I624" s="65"/>
      <c r="J624" s="65"/>
      <c r="K624" s="65"/>
      <c r="L624" s="68"/>
      <c r="M624" s="65"/>
      <c r="N624" s="65"/>
      <c r="O624" s="68"/>
      <c r="P624" s="67"/>
      <c r="Q624" s="105"/>
      <c r="R624" s="88"/>
      <c r="U624" s="88"/>
      <c r="V624" s="87"/>
      <c r="W624" s="87"/>
      <c r="X624" s="108"/>
      <c r="Y624" s="87"/>
      <c r="Z624" s="87"/>
    </row>
    <row r="625" spans="1:26">
      <c r="A625" s="59"/>
      <c r="B625" s="271" t="s">
        <v>396</v>
      </c>
      <c r="C625" s="65"/>
      <c r="D625" s="65"/>
      <c r="E625" s="271"/>
      <c r="F625" s="65">
        <v>9.25</v>
      </c>
      <c r="G625" s="65">
        <v>1.18</v>
      </c>
      <c r="H625" s="68">
        <v>28.3</v>
      </c>
      <c r="I625" s="68">
        <v>48.634</v>
      </c>
      <c r="J625" s="65">
        <v>11.5</v>
      </c>
      <c r="K625" s="65">
        <v>92.2</v>
      </c>
      <c r="L625" s="68">
        <v>98.9</v>
      </c>
      <c r="M625" s="65">
        <v>1.47</v>
      </c>
      <c r="N625" s="65">
        <v>20.5</v>
      </c>
      <c r="O625" s="68">
        <v>35.299999999999997</v>
      </c>
      <c r="P625" s="67">
        <v>2.2053000000000003</v>
      </c>
      <c r="Q625" s="106">
        <v>8.6806000000000001</v>
      </c>
      <c r="R625" s="88"/>
      <c r="S625" s="87"/>
      <c r="U625" s="88"/>
      <c r="V625" s="87"/>
      <c r="W625" s="87"/>
      <c r="X625" s="108"/>
      <c r="Y625" s="87"/>
      <c r="Z625" s="87"/>
    </row>
    <row r="626" spans="1:26">
      <c r="A626" s="59"/>
      <c r="B626" s="271" t="s">
        <v>397</v>
      </c>
      <c r="C626" s="65"/>
      <c r="D626" s="65"/>
      <c r="E626" s="271"/>
      <c r="F626" s="68">
        <v>11</v>
      </c>
      <c r="G626" s="67">
        <v>1.4</v>
      </c>
      <c r="H626" s="68">
        <v>28.2</v>
      </c>
      <c r="I626" s="68">
        <v>47.899000000000001</v>
      </c>
      <c r="J626" s="65">
        <v>13.6</v>
      </c>
      <c r="K626" s="65">
        <v>109</v>
      </c>
      <c r="L626" s="68">
        <v>98.5</v>
      </c>
      <c r="M626" s="65">
        <v>1.72</v>
      </c>
      <c r="N626" s="68">
        <v>24</v>
      </c>
      <c r="O626" s="68">
        <v>35</v>
      </c>
      <c r="P626" s="67">
        <v>3.7759999999999998</v>
      </c>
      <c r="Q626" s="106">
        <v>9.9892000000000003</v>
      </c>
      <c r="R626" s="88"/>
      <c r="S626" s="87"/>
      <c r="U626" s="87"/>
      <c r="V626" s="87"/>
      <c r="W626" s="87"/>
      <c r="X626" s="108"/>
      <c r="Y626" s="87"/>
      <c r="Z626" s="87"/>
    </row>
    <row r="627" spans="1:26">
      <c r="A627" s="59"/>
      <c r="B627" s="271" t="s">
        <v>398</v>
      </c>
      <c r="C627" s="65"/>
      <c r="D627" s="65"/>
      <c r="E627" s="271"/>
      <c r="F627" s="65">
        <v>12.7</v>
      </c>
      <c r="G627" s="65">
        <v>1.62</v>
      </c>
      <c r="H627" s="68">
        <v>28.2</v>
      </c>
      <c r="I627" s="68">
        <v>47.162999999999997</v>
      </c>
      <c r="J627" s="65">
        <v>15.6</v>
      </c>
      <c r="K627" s="65">
        <v>125</v>
      </c>
      <c r="L627" s="68">
        <v>98.2</v>
      </c>
      <c r="M627" s="65">
        <v>1.95</v>
      </c>
      <c r="N627" s="68">
        <v>27.2</v>
      </c>
      <c r="O627" s="68">
        <v>34.700000000000003</v>
      </c>
      <c r="P627" s="67">
        <v>5.8956999999999997</v>
      </c>
      <c r="Q627" s="107">
        <v>11.161</v>
      </c>
      <c r="R627" s="88"/>
      <c r="S627" s="87"/>
      <c r="U627" s="87"/>
      <c r="V627" s="89"/>
      <c r="W627" s="87"/>
      <c r="X627" s="108"/>
      <c r="Y627" s="87"/>
      <c r="Z627" s="87"/>
    </row>
    <row r="628" spans="1:26">
      <c r="A628" s="59"/>
      <c r="B628" s="271" t="s">
        <v>399</v>
      </c>
      <c r="C628" s="65"/>
      <c r="D628" s="65"/>
      <c r="E628" s="271"/>
      <c r="F628" s="65">
        <v>16.100000000000001</v>
      </c>
      <c r="G628" s="65">
        <v>2.0499999999999998</v>
      </c>
      <c r="H628" s="68">
        <v>28</v>
      </c>
      <c r="I628" s="68">
        <v>45.889000000000003</v>
      </c>
      <c r="J628" s="65">
        <v>19.5</v>
      </c>
      <c r="K628" s="65">
        <v>156</v>
      </c>
      <c r="L628" s="68">
        <v>97.4</v>
      </c>
      <c r="M628" s="65">
        <v>2.38</v>
      </c>
      <c r="N628" s="68">
        <v>33</v>
      </c>
      <c r="O628" s="68">
        <v>34</v>
      </c>
      <c r="P628" s="68">
        <v>12.273</v>
      </c>
      <c r="Q628" s="107">
        <v>13.228999999999999</v>
      </c>
      <c r="R628" s="88"/>
      <c r="S628" s="87"/>
      <c r="U628" s="87"/>
      <c r="V628" s="89"/>
      <c r="W628" s="87"/>
      <c r="X628" s="88"/>
      <c r="Y628" s="87"/>
      <c r="Z628" s="87"/>
    </row>
    <row r="629" spans="1:26">
      <c r="A629" s="59"/>
      <c r="B629" s="271" t="s">
        <v>56</v>
      </c>
      <c r="C629" s="65"/>
      <c r="D629" s="65"/>
      <c r="E629" s="271"/>
      <c r="F629" s="65" t="s">
        <v>135</v>
      </c>
      <c r="G629" s="65" t="s">
        <v>135</v>
      </c>
      <c r="H629" s="68" t="s">
        <v>135</v>
      </c>
      <c r="I629" s="65"/>
      <c r="J629" s="65" t="s">
        <v>135</v>
      </c>
      <c r="K629" s="65" t="s">
        <v>135</v>
      </c>
      <c r="L629" s="68" t="s">
        <v>135</v>
      </c>
      <c r="M629" s="65" t="s">
        <v>135</v>
      </c>
      <c r="N629" s="68" t="s">
        <v>135</v>
      </c>
      <c r="O629" s="68" t="s">
        <v>135</v>
      </c>
      <c r="P629" s="67"/>
      <c r="Q629" s="107"/>
      <c r="R629" s="88"/>
      <c r="U629" s="87"/>
      <c r="V629" s="87"/>
      <c r="W629" s="87"/>
      <c r="X629" s="88"/>
      <c r="Y629" s="87"/>
      <c r="Z629" s="87"/>
    </row>
    <row r="630" spans="1:26">
      <c r="A630" s="59"/>
      <c r="B630" s="271" t="s">
        <v>104</v>
      </c>
      <c r="C630" s="65"/>
      <c r="D630" s="65"/>
      <c r="E630" s="271"/>
      <c r="F630" s="65">
        <v>8.27</v>
      </c>
      <c r="G630" s="65">
        <v>1.05</v>
      </c>
      <c r="H630" s="68">
        <v>19.399999999999999</v>
      </c>
      <c r="I630" s="68">
        <v>69.182000000000002</v>
      </c>
      <c r="J630" s="65">
        <v>9.61</v>
      </c>
      <c r="K630" s="65">
        <v>76.900000000000006</v>
      </c>
      <c r="L630" s="68">
        <v>95.5</v>
      </c>
      <c r="M630" s="65">
        <v>0.72299999999999998</v>
      </c>
      <c r="N630" s="68">
        <v>13</v>
      </c>
      <c r="O630" s="68">
        <v>26.2</v>
      </c>
      <c r="P630" s="67">
        <v>2.4778000000000002</v>
      </c>
      <c r="Q630" s="107">
        <v>17.314</v>
      </c>
      <c r="R630" s="88"/>
      <c r="S630" s="87"/>
      <c r="U630" s="87"/>
      <c r="V630" s="87"/>
      <c r="W630" s="87"/>
      <c r="X630" s="88"/>
      <c r="Y630" s="87"/>
      <c r="Z630" s="87"/>
    </row>
    <row r="631" spans="1:26">
      <c r="A631" s="59"/>
      <c r="B631" s="271" t="s">
        <v>105</v>
      </c>
      <c r="C631" s="65"/>
      <c r="D631" s="65"/>
      <c r="E631" s="271"/>
      <c r="F631" s="65">
        <v>9.84</v>
      </c>
      <c r="G631" s="65">
        <v>1.25</v>
      </c>
      <c r="H631" s="68">
        <v>19.399999999999999</v>
      </c>
      <c r="I631" s="68">
        <v>68.521000000000001</v>
      </c>
      <c r="J631" s="65">
        <v>11.3</v>
      </c>
      <c r="K631" s="65">
        <v>90.7</v>
      </c>
      <c r="L631" s="68">
        <v>95.1</v>
      </c>
      <c r="M631" s="65">
        <v>0.83899999999999997</v>
      </c>
      <c r="N631" s="68">
        <v>15.1</v>
      </c>
      <c r="O631" s="68">
        <v>25.9</v>
      </c>
      <c r="P631" s="67">
        <v>4.2241</v>
      </c>
      <c r="Q631" s="107">
        <v>20.062000000000001</v>
      </c>
      <c r="R631" s="88"/>
      <c r="S631" s="87"/>
      <c r="U631" s="87"/>
      <c r="V631" s="89"/>
      <c r="W631" s="87"/>
      <c r="X631" s="88"/>
      <c r="Y631" s="87"/>
      <c r="Z631" s="87"/>
    </row>
    <row r="632" spans="1:26">
      <c r="A632" s="59"/>
      <c r="B632" s="271" t="s">
        <v>106</v>
      </c>
      <c r="C632" s="65"/>
      <c r="D632" s="65"/>
      <c r="E632" s="271"/>
      <c r="F632" s="65">
        <v>11.4</v>
      </c>
      <c r="G632" s="65">
        <v>1.45</v>
      </c>
      <c r="H632" s="68">
        <v>19.399999999999999</v>
      </c>
      <c r="I632" s="68">
        <v>67.959000000000003</v>
      </c>
      <c r="J632" s="68">
        <v>13</v>
      </c>
      <c r="K632" s="65">
        <v>104</v>
      </c>
      <c r="L632" s="68">
        <v>94.7</v>
      </c>
      <c r="M632" s="65">
        <v>0.94799999999999995</v>
      </c>
      <c r="N632" s="68">
        <v>17</v>
      </c>
      <c r="O632" s="68">
        <v>25.6</v>
      </c>
      <c r="P632" s="67">
        <v>6.6763000000000003</v>
      </c>
      <c r="Q632" s="107">
        <v>22.742000000000001</v>
      </c>
      <c r="R632" s="88"/>
      <c r="S632" s="87"/>
      <c r="U632" s="87"/>
      <c r="V632" s="89"/>
      <c r="W632" s="87"/>
      <c r="X632" s="88"/>
      <c r="Y632" s="87"/>
      <c r="Z632" s="87"/>
    </row>
    <row r="633" spans="1:26">
      <c r="A633" s="59"/>
      <c r="B633" s="271" t="s">
        <v>107</v>
      </c>
      <c r="C633" s="65"/>
      <c r="D633" s="65"/>
      <c r="E633" s="271"/>
      <c r="F633" s="65">
        <v>14.4</v>
      </c>
      <c r="G633" s="65">
        <v>1.83</v>
      </c>
      <c r="H633" s="68">
        <v>19.3</v>
      </c>
      <c r="I633" s="68">
        <v>66.332999999999998</v>
      </c>
      <c r="J633" s="68">
        <v>16.100000000000001</v>
      </c>
      <c r="K633" s="65">
        <v>129</v>
      </c>
      <c r="L633" s="68">
        <v>93.9</v>
      </c>
      <c r="M633" s="65">
        <v>1.1399999999999999</v>
      </c>
      <c r="N633" s="68">
        <v>20.399999999999999</v>
      </c>
      <c r="O633" s="68">
        <v>24.9</v>
      </c>
      <c r="P633" s="68">
        <v>13.875</v>
      </c>
      <c r="Q633" s="107">
        <v>27.088000000000001</v>
      </c>
      <c r="R633" s="88"/>
      <c r="S633" s="87"/>
      <c r="U633" s="87"/>
      <c r="V633" s="89"/>
      <c r="W633" s="87"/>
      <c r="X633" s="88"/>
      <c r="Y633" s="87"/>
      <c r="Z633" s="87"/>
    </row>
    <row r="634" spans="1:26">
      <c r="A634" s="59"/>
      <c r="B634" s="271"/>
      <c r="C634" s="65"/>
      <c r="D634" s="65"/>
      <c r="E634" s="271"/>
      <c r="F634" s="65"/>
      <c r="G634" s="65"/>
      <c r="H634" s="68"/>
      <c r="I634" s="68"/>
      <c r="J634" s="68"/>
      <c r="K634" s="65"/>
      <c r="L634" s="68"/>
      <c r="M634" s="65"/>
      <c r="N634" s="68"/>
      <c r="O634" s="68"/>
      <c r="P634" s="67"/>
      <c r="Q634" s="105"/>
      <c r="R634" s="88"/>
      <c r="S634" s="87"/>
      <c r="U634" s="108"/>
      <c r="V634" s="87"/>
      <c r="W634" s="87"/>
      <c r="X634" s="108"/>
      <c r="Y634" s="87"/>
      <c r="Z634" s="87"/>
    </row>
    <row r="635" spans="1:26">
      <c r="A635" s="59"/>
      <c r="B635" s="271" t="s">
        <v>400</v>
      </c>
      <c r="C635" s="65"/>
      <c r="D635" s="65"/>
      <c r="E635" s="271"/>
      <c r="F635" s="65">
        <v>8.76</v>
      </c>
      <c r="G635" s="65">
        <v>1.1200000000000001</v>
      </c>
      <c r="H635" s="68">
        <v>18.399999999999999</v>
      </c>
      <c r="I635" s="68">
        <v>48.634</v>
      </c>
      <c r="J635" s="68">
        <v>12.1</v>
      </c>
      <c r="K635" s="65">
        <v>87.7</v>
      </c>
      <c r="L635" s="65">
        <v>104</v>
      </c>
      <c r="M635" s="65">
        <v>0.74099999999999999</v>
      </c>
      <c r="N635" s="65">
        <v>13.1</v>
      </c>
      <c r="O635" s="68">
        <v>25.8</v>
      </c>
      <c r="P635" s="67">
        <v>2.2053000000000003</v>
      </c>
      <c r="Q635" s="106">
        <v>8.6806000000000001</v>
      </c>
      <c r="R635" s="88"/>
      <c r="S635" s="87"/>
      <c r="U635" s="88"/>
      <c r="V635" s="87"/>
      <c r="W635" s="87"/>
      <c r="X635" s="108"/>
      <c r="Y635" s="87"/>
      <c r="Z635" s="87"/>
    </row>
    <row r="636" spans="1:26">
      <c r="A636" s="59"/>
      <c r="B636" s="271" t="s">
        <v>401</v>
      </c>
      <c r="C636" s="65"/>
      <c r="D636" s="65"/>
      <c r="E636" s="271"/>
      <c r="F636" s="65">
        <v>10.4</v>
      </c>
      <c r="G636" s="65">
        <v>1.33</v>
      </c>
      <c r="H636" s="68">
        <v>18.399999999999999</v>
      </c>
      <c r="I636" s="68">
        <v>47.899000000000001</v>
      </c>
      <c r="J636" s="68">
        <v>14.2</v>
      </c>
      <c r="K636" s="65">
        <v>103</v>
      </c>
      <c r="L636" s="65">
        <v>104</v>
      </c>
      <c r="M636" s="65">
        <v>0.86099999999999999</v>
      </c>
      <c r="N636" s="65">
        <v>15.2</v>
      </c>
      <c r="O636" s="68">
        <v>25.5</v>
      </c>
      <c r="P636" s="67">
        <v>3.7759999999999998</v>
      </c>
      <c r="Q636" s="106">
        <v>9.9892000000000003</v>
      </c>
      <c r="R636" s="88"/>
      <c r="S636" s="87"/>
      <c r="U636" s="87"/>
      <c r="V636" s="87"/>
      <c r="W636" s="87"/>
      <c r="X636" s="108"/>
      <c r="Y636" s="87"/>
      <c r="Z636" s="87"/>
    </row>
    <row r="637" spans="1:26">
      <c r="A637" s="59"/>
      <c r="B637" s="271" t="s">
        <v>402</v>
      </c>
      <c r="C637" s="65"/>
      <c r="D637" s="65"/>
      <c r="E637" s="271"/>
      <c r="F637" s="65">
        <v>12.1</v>
      </c>
      <c r="G637" s="65">
        <v>1.54</v>
      </c>
      <c r="H637" s="68">
        <v>18.399999999999999</v>
      </c>
      <c r="I637" s="68">
        <v>47.162999999999997</v>
      </c>
      <c r="J637" s="68">
        <v>16.3</v>
      </c>
      <c r="K637" s="65">
        <v>119</v>
      </c>
      <c r="L637" s="65">
        <v>103</v>
      </c>
      <c r="M637" s="65">
        <v>0.97099999999999997</v>
      </c>
      <c r="N637" s="65">
        <v>17.100000000000001</v>
      </c>
      <c r="O637" s="68">
        <v>25.1</v>
      </c>
      <c r="P637" s="67">
        <v>5.8956999999999997</v>
      </c>
      <c r="Q637" s="107">
        <v>11.161</v>
      </c>
      <c r="R637" s="88"/>
      <c r="S637" s="87"/>
      <c r="U637" s="87"/>
      <c r="V637" s="89"/>
      <c r="W637" s="87"/>
      <c r="X637" s="108"/>
      <c r="Y637" s="87"/>
      <c r="Z637" s="87"/>
    </row>
    <row r="638" spans="1:26">
      <c r="A638" s="59"/>
      <c r="B638" s="271"/>
      <c r="C638" s="65"/>
      <c r="D638" s="65"/>
      <c r="E638" s="271"/>
      <c r="F638" s="65"/>
      <c r="G638" s="65"/>
      <c r="H638" s="68"/>
      <c r="I638" s="68"/>
      <c r="J638" s="68"/>
      <c r="K638" s="65"/>
      <c r="L638" s="65"/>
      <c r="M638" s="65"/>
      <c r="N638" s="65"/>
      <c r="O638" s="68"/>
      <c r="P638" s="67"/>
      <c r="Q638" s="107"/>
      <c r="R638" s="88"/>
      <c r="S638" s="87"/>
      <c r="U638" s="87"/>
      <c r="V638" s="87"/>
      <c r="W638" s="87"/>
      <c r="X638" s="108"/>
      <c r="Y638" s="87"/>
      <c r="Z638" s="87"/>
    </row>
    <row r="639" spans="1:26">
      <c r="A639" s="59"/>
      <c r="B639" s="271" t="s">
        <v>403</v>
      </c>
      <c r="C639" s="65"/>
      <c r="D639" s="65"/>
      <c r="E639" s="271"/>
      <c r="F639" s="65">
        <v>9.74</v>
      </c>
      <c r="G639" s="65">
        <v>1.24</v>
      </c>
      <c r="H639" s="68">
        <v>26.9</v>
      </c>
      <c r="I639" s="68">
        <v>69.182000000000002</v>
      </c>
      <c r="J639" s="68">
        <v>14.4</v>
      </c>
      <c r="K639" s="65">
        <v>105</v>
      </c>
      <c r="L639" s="65">
        <v>108</v>
      </c>
      <c r="M639" s="65">
        <v>1.51</v>
      </c>
      <c r="N639" s="65">
        <v>20.7</v>
      </c>
      <c r="O639" s="68">
        <v>34.9</v>
      </c>
      <c r="P639" s="67">
        <v>2.4778000000000002</v>
      </c>
      <c r="Q639" s="107">
        <v>17.314</v>
      </c>
      <c r="R639" s="88"/>
      <c r="S639" s="87"/>
      <c r="U639" s="87"/>
      <c r="V639" s="87"/>
      <c r="W639" s="87"/>
      <c r="X639" s="88"/>
      <c r="Y639" s="87"/>
      <c r="Z639" s="87"/>
    </row>
    <row r="640" spans="1:26">
      <c r="A640" s="59"/>
      <c r="B640" s="271" t="s">
        <v>404</v>
      </c>
      <c r="C640" s="65"/>
      <c r="D640" s="65"/>
      <c r="E640" s="271"/>
      <c r="F640" s="65">
        <v>11.6</v>
      </c>
      <c r="G640" s="65">
        <v>1.48</v>
      </c>
      <c r="H640" s="68">
        <v>26.9</v>
      </c>
      <c r="I640" s="68">
        <v>68.521000000000001</v>
      </c>
      <c r="J640" s="68">
        <v>17</v>
      </c>
      <c r="K640" s="65">
        <v>124</v>
      </c>
      <c r="L640" s="65">
        <v>107</v>
      </c>
      <c r="M640" s="65">
        <v>1.77</v>
      </c>
      <c r="N640" s="65">
        <v>24.2</v>
      </c>
      <c r="O640" s="68">
        <v>34.6</v>
      </c>
      <c r="P640" s="67">
        <v>4.2241</v>
      </c>
      <c r="Q640" s="107">
        <v>20.062000000000001</v>
      </c>
      <c r="R640" s="88"/>
      <c r="S640" s="87"/>
      <c r="U640" s="87"/>
      <c r="V640" s="89"/>
      <c r="W640" s="89"/>
      <c r="X640" s="88"/>
      <c r="Y640" s="87"/>
      <c r="Z640" s="87"/>
    </row>
    <row r="641" spans="1:26">
      <c r="A641" s="59"/>
      <c r="B641" s="271" t="s">
        <v>405</v>
      </c>
      <c r="C641" s="65"/>
      <c r="D641" s="65"/>
      <c r="E641" s="271"/>
      <c r="F641" s="65">
        <v>13.4</v>
      </c>
      <c r="G641" s="65">
        <v>1.71</v>
      </c>
      <c r="H641" s="68">
        <v>26.8</v>
      </c>
      <c r="I641" s="68">
        <v>67.959000000000003</v>
      </c>
      <c r="J641" s="68">
        <v>19.600000000000001</v>
      </c>
      <c r="K641" s="65">
        <v>142</v>
      </c>
      <c r="L641" s="65">
        <v>107</v>
      </c>
      <c r="M641" s="65">
        <v>2.0099999999999998</v>
      </c>
      <c r="N641" s="65">
        <v>27.5</v>
      </c>
      <c r="O641" s="68">
        <v>34.299999999999997</v>
      </c>
      <c r="P641" s="67">
        <v>6.6763000000000003</v>
      </c>
      <c r="Q641" s="107">
        <v>22.742000000000001</v>
      </c>
      <c r="R641" s="88"/>
      <c r="S641" s="87"/>
      <c r="U641" s="87"/>
      <c r="V641" s="89"/>
      <c r="W641" s="89"/>
      <c r="X641" s="88"/>
      <c r="Y641" s="87"/>
      <c r="Z641" s="87"/>
    </row>
    <row r="642" spans="1:26">
      <c r="A642" s="6"/>
      <c r="B642" s="271" t="s">
        <v>406</v>
      </c>
      <c r="C642" s="65"/>
      <c r="D642" s="65"/>
      <c r="E642" s="271"/>
      <c r="F642" s="68">
        <v>17</v>
      </c>
      <c r="G642" s="65">
        <v>2.17</v>
      </c>
      <c r="H642" s="68">
        <v>26.7</v>
      </c>
      <c r="I642" s="68">
        <v>66.332999999999998</v>
      </c>
      <c r="J642" s="68">
        <v>24.4</v>
      </c>
      <c r="K642" s="65">
        <v>177</v>
      </c>
      <c r="L642" s="65">
        <v>106</v>
      </c>
      <c r="M642" s="65">
        <v>2.4500000000000002</v>
      </c>
      <c r="N642" s="65">
        <v>33.4</v>
      </c>
      <c r="O642" s="68">
        <v>33.6</v>
      </c>
      <c r="P642" s="68">
        <v>13.875</v>
      </c>
      <c r="Q642" s="107">
        <v>27.088000000000001</v>
      </c>
      <c r="R642" s="88"/>
      <c r="S642" s="87"/>
      <c r="U642" s="87"/>
      <c r="V642" s="89"/>
      <c r="W642" s="89"/>
      <c r="X642" s="88"/>
      <c r="Y642" s="87"/>
      <c r="Z642" s="87"/>
    </row>
    <row r="643" spans="1:26">
      <c r="A643" s="6"/>
      <c r="B643" s="271"/>
      <c r="C643" s="65"/>
      <c r="D643" s="65"/>
      <c r="E643" s="271"/>
      <c r="F643" s="65"/>
      <c r="G643" s="65"/>
      <c r="H643" s="68"/>
      <c r="I643" s="68"/>
      <c r="J643" s="68"/>
      <c r="K643" s="65"/>
      <c r="L643" s="65"/>
      <c r="M643" s="69"/>
      <c r="N643" s="65"/>
      <c r="O643" s="68"/>
      <c r="P643" s="67"/>
      <c r="Q643" s="107"/>
      <c r="R643" s="88"/>
      <c r="S643" s="87"/>
      <c r="U643" s="87"/>
      <c r="V643" s="87"/>
      <c r="W643" s="89"/>
      <c r="X643" s="108"/>
      <c r="Y643" s="87"/>
      <c r="Z643" s="87"/>
    </row>
    <row r="644" spans="1:26">
      <c r="A644" s="6"/>
      <c r="B644" s="271" t="s">
        <v>407</v>
      </c>
      <c r="C644" s="65"/>
      <c r="D644" s="65"/>
      <c r="E644" s="271"/>
      <c r="F644" s="65">
        <v>9.25</v>
      </c>
      <c r="G644" s="67">
        <v>1.18</v>
      </c>
      <c r="H644" s="68">
        <v>17.5</v>
      </c>
      <c r="I644" s="68">
        <v>44.605000000000004</v>
      </c>
      <c r="J644" s="68">
        <v>14.9</v>
      </c>
      <c r="K644" s="68">
        <v>99</v>
      </c>
      <c r="L644" s="65">
        <v>112</v>
      </c>
      <c r="M644" s="69">
        <v>0.76</v>
      </c>
      <c r="N644" s="65">
        <v>13.2</v>
      </c>
      <c r="O644" s="68">
        <v>25.4</v>
      </c>
      <c r="P644" s="67">
        <v>2.4874000000000001</v>
      </c>
      <c r="Q644" s="107">
        <v>12.999000000000001</v>
      </c>
      <c r="R644" s="88"/>
      <c r="S644" s="87"/>
      <c r="U644" s="87"/>
      <c r="V644" s="87"/>
      <c r="W644" s="89"/>
      <c r="X644" s="108"/>
      <c r="Y644" s="87"/>
      <c r="Z644" s="87"/>
    </row>
    <row r="645" spans="1:26">
      <c r="A645" s="6"/>
      <c r="B645" s="271" t="s">
        <v>408</v>
      </c>
      <c r="C645" s="65"/>
      <c r="D645" s="65"/>
      <c r="E645" s="271"/>
      <c r="F645" s="68">
        <v>11</v>
      </c>
      <c r="G645" s="67">
        <v>1.4</v>
      </c>
      <c r="H645" s="68">
        <v>17.5</v>
      </c>
      <c r="I645" s="68">
        <v>44.085000000000001</v>
      </c>
      <c r="J645" s="68">
        <v>17.5</v>
      </c>
      <c r="K645" s="65">
        <v>117</v>
      </c>
      <c r="L645" s="65">
        <v>112</v>
      </c>
      <c r="M645" s="69">
        <v>0.88</v>
      </c>
      <c r="N645" s="65">
        <v>15.3</v>
      </c>
      <c r="O645" s="68">
        <v>25.1</v>
      </c>
      <c r="P645" s="67">
        <v>4.2261000000000006</v>
      </c>
      <c r="Q645" s="107">
        <v>15.048</v>
      </c>
      <c r="R645" s="88"/>
      <c r="S645" s="87"/>
      <c r="U645" s="87"/>
      <c r="V645" s="89"/>
      <c r="W645" s="89"/>
      <c r="X645" s="108"/>
      <c r="Y645" s="87"/>
      <c r="Z645" s="87"/>
    </row>
    <row r="646" spans="1:26">
      <c r="A646" s="6"/>
      <c r="B646" s="271" t="s">
        <v>409</v>
      </c>
      <c r="C646" s="65"/>
      <c r="D646" s="65"/>
      <c r="E646" s="271"/>
      <c r="F646" s="65">
        <v>12.7</v>
      </c>
      <c r="G646" s="67">
        <v>1.62</v>
      </c>
      <c r="H646" s="68">
        <v>17.5</v>
      </c>
      <c r="I646" s="68">
        <v>43.564</v>
      </c>
      <c r="J646" s="68">
        <v>20.100000000000001</v>
      </c>
      <c r="K646" s="65">
        <v>134</v>
      </c>
      <c r="L646" s="65">
        <v>111</v>
      </c>
      <c r="M646" s="69">
        <v>0.99</v>
      </c>
      <c r="N646" s="65">
        <v>17.3</v>
      </c>
      <c r="O646" s="68">
        <v>24.7</v>
      </c>
      <c r="P646" s="67">
        <v>6.6743000000000006</v>
      </c>
      <c r="Q646" s="107">
        <v>16.978000000000002</v>
      </c>
      <c r="R646" s="88"/>
      <c r="S646" s="87"/>
      <c r="U646" s="87"/>
      <c r="V646" s="89"/>
      <c r="W646" s="89"/>
      <c r="X646" s="108"/>
      <c r="Y646" s="87"/>
      <c r="Z646" s="87"/>
    </row>
    <row r="647" spans="1:26">
      <c r="A647" s="6"/>
      <c r="B647" s="271" t="s">
        <v>108</v>
      </c>
      <c r="C647" s="65"/>
      <c r="D647" s="65"/>
      <c r="E647" s="271"/>
      <c r="F647" s="65">
        <v>16.100000000000001</v>
      </c>
      <c r="G647" s="67">
        <v>2.0499999999999998</v>
      </c>
      <c r="H647" s="68">
        <v>17.399999999999999</v>
      </c>
      <c r="I647" s="68">
        <v>42.222000000000001</v>
      </c>
      <c r="J647" s="68">
        <v>25.1</v>
      </c>
      <c r="K647" s="65">
        <v>167</v>
      </c>
      <c r="L647" s="65">
        <v>110</v>
      </c>
      <c r="M647" s="65">
        <v>1.19</v>
      </c>
      <c r="N647" s="65">
        <v>20.7</v>
      </c>
      <c r="O647" s="68">
        <v>24.1</v>
      </c>
      <c r="P647" s="68">
        <v>13.898999999999999</v>
      </c>
      <c r="Q647" s="107">
        <v>20.097000000000001</v>
      </c>
      <c r="R647" s="88"/>
      <c r="S647" s="87"/>
      <c r="U647" s="87"/>
      <c r="V647" s="89"/>
      <c r="W647" s="89"/>
      <c r="X647" s="88"/>
      <c r="Y647" s="87"/>
      <c r="Z647" s="87"/>
    </row>
    <row r="648" spans="1:26">
      <c r="A648" s="6"/>
      <c r="B648" s="271"/>
      <c r="C648" s="65"/>
      <c r="D648" s="65"/>
      <c r="E648" s="271"/>
      <c r="F648" s="65"/>
      <c r="G648" s="67"/>
      <c r="H648" s="68"/>
      <c r="I648" s="68"/>
      <c r="J648" s="68"/>
      <c r="K648" s="65"/>
      <c r="L648" s="65"/>
      <c r="M648" s="65"/>
      <c r="N648" s="65"/>
      <c r="O648" s="68"/>
      <c r="P648" s="67"/>
      <c r="Q648" s="107"/>
      <c r="R648" s="88"/>
      <c r="S648" s="87"/>
      <c r="U648" s="87"/>
      <c r="V648" s="89"/>
      <c r="W648" s="89"/>
      <c r="X648" s="88"/>
      <c r="Y648" s="87"/>
      <c r="Z648" s="87"/>
    </row>
    <row r="649" spans="1:26">
      <c r="A649" s="6"/>
      <c r="B649" s="271" t="s">
        <v>410</v>
      </c>
      <c r="C649" s="65"/>
      <c r="D649" s="65"/>
      <c r="E649" s="271"/>
      <c r="F649" s="65">
        <v>10.199999999999999</v>
      </c>
      <c r="G649" s="67">
        <v>1.3</v>
      </c>
      <c r="H649" s="68">
        <v>25.7</v>
      </c>
      <c r="I649" s="68">
        <v>64.289000000000001</v>
      </c>
      <c r="J649" s="68">
        <v>17.600000000000001</v>
      </c>
      <c r="K649" s="65">
        <v>117</v>
      </c>
      <c r="L649" s="65">
        <v>116</v>
      </c>
      <c r="M649" s="65">
        <v>1.55</v>
      </c>
      <c r="N649" s="65">
        <v>20.9</v>
      </c>
      <c r="O649" s="68">
        <v>34.5</v>
      </c>
      <c r="P649" s="67">
        <v>2.7531999999999996</v>
      </c>
      <c r="Q649" s="107">
        <v>26.033000000000001</v>
      </c>
      <c r="R649" s="88"/>
      <c r="S649" s="87"/>
      <c r="U649" s="87"/>
      <c r="V649" s="89"/>
      <c r="W649" s="89"/>
      <c r="X649" s="88"/>
      <c r="Y649" s="87"/>
      <c r="Z649" s="87"/>
    </row>
    <row r="650" spans="1:26">
      <c r="A650" s="6"/>
      <c r="B650" s="271" t="s">
        <v>411</v>
      </c>
      <c r="C650" s="65"/>
      <c r="D650" s="65"/>
      <c r="E650" s="271"/>
      <c r="F650" s="65">
        <v>12.2</v>
      </c>
      <c r="G650" s="67">
        <v>1.55</v>
      </c>
      <c r="H650" s="68">
        <v>25.6</v>
      </c>
      <c r="I650" s="68">
        <v>63.74</v>
      </c>
      <c r="J650" s="68">
        <v>20.9</v>
      </c>
      <c r="K650" s="65">
        <v>139</v>
      </c>
      <c r="L650" s="65">
        <v>116</v>
      </c>
      <c r="M650" s="65">
        <v>1.82</v>
      </c>
      <c r="N650" s="65">
        <v>24.4</v>
      </c>
      <c r="O650" s="68">
        <v>34.200000000000003</v>
      </c>
      <c r="P650" s="67">
        <v>4.7001999999999997</v>
      </c>
      <c r="Q650" s="107">
        <v>30.379000000000001</v>
      </c>
      <c r="R650" s="88"/>
      <c r="S650" s="87"/>
      <c r="U650" s="87"/>
      <c r="V650" s="89"/>
      <c r="W650" s="89"/>
      <c r="X650" s="88"/>
      <c r="Y650" s="87"/>
      <c r="Z650" s="87"/>
    </row>
    <row r="651" spans="1:26">
      <c r="A651" s="6"/>
      <c r="B651" s="271" t="s">
        <v>412</v>
      </c>
      <c r="C651" s="65"/>
      <c r="D651" s="65"/>
      <c r="E651" s="271"/>
      <c r="F651" s="65">
        <v>14.1</v>
      </c>
      <c r="G651" s="67">
        <v>1.8</v>
      </c>
      <c r="H651" s="68">
        <v>25.6</v>
      </c>
      <c r="I651" s="68">
        <v>62.89</v>
      </c>
      <c r="J651" s="68">
        <v>24</v>
      </c>
      <c r="K651" s="65">
        <v>160</v>
      </c>
      <c r="L651" s="65">
        <v>115</v>
      </c>
      <c r="M651" s="65">
        <v>2.06</v>
      </c>
      <c r="N651" s="65">
        <v>27.7</v>
      </c>
      <c r="O651" s="68">
        <v>33.9</v>
      </c>
      <c r="P651" s="67">
        <v>7.3941000000000008</v>
      </c>
      <c r="Q651" s="107">
        <v>34.142000000000003</v>
      </c>
      <c r="R651" s="88"/>
      <c r="S651" s="87"/>
      <c r="U651" s="87"/>
      <c r="V651" s="89"/>
      <c r="W651" s="89"/>
      <c r="X651" s="88"/>
      <c r="Y651" s="87"/>
      <c r="Z651" s="87"/>
    </row>
    <row r="652" spans="1:26">
      <c r="A652" s="6"/>
      <c r="B652" s="271" t="s">
        <v>413</v>
      </c>
      <c r="C652" s="65"/>
      <c r="D652" s="65"/>
      <c r="E652" s="271"/>
      <c r="F652" s="65">
        <v>17.899999999999999</v>
      </c>
      <c r="G652" s="65">
        <v>2.2799999999999998</v>
      </c>
      <c r="H652" s="68">
        <v>25.5</v>
      </c>
      <c r="I652" s="68">
        <v>61.588000000000001</v>
      </c>
      <c r="J652" s="68">
        <v>30</v>
      </c>
      <c r="K652" s="65">
        <v>200</v>
      </c>
      <c r="L652" s="65">
        <v>115</v>
      </c>
      <c r="M652" s="65">
        <v>2.5099999999999998</v>
      </c>
      <c r="N652" s="65">
        <v>33.700000000000003</v>
      </c>
      <c r="O652" s="68">
        <v>33.200000000000003</v>
      </c>
      <c r="P652" s="68">
        <v>15.382999999999999</v>
      </c>
      <c r="Q652" s="107">
        <v>41.121000000000002</v>
      </c>
      <c r="R652" s="88"/>
      <c r="S652" s="87"/>
      <c r="U652" s="87"/>
      <c r="V652" s="89"/>
      <c r="W652" s="89"/>
      <c r="X652" s="88"/>
      <c r="Y652" s="87"/>
      <c r="Z652" s="87"/>
    </row>
    <row r="653" spans="1:26">
      <c r="A653" s="6"/>
    </row>
    <row r="654" spans="1:26" ht="15.75">
      <c r="A654" s="6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</row>
    <row r="655" spans="1:26" ht="20.25">
      <c r="A655" s="6"/>
      <c r="B655" s="93" t="s">
        <v>131</v>
      </c>
      <c r="C655" s="93"/>
      <c r="D655" s="93"/>
      <c r="E655" s="93"/>
      <c r="F655" s="86"/>
      <c r="G655" s="86"/>
      <c r="H655" s="86"/>
      <c r="I655" s="86"/>
      <c r="J655" s="86"/>
    </row>
    <row r="656" spans="1:26" ht="20.25">
      <c r="A656" s="6"/>
      <c r="B656" s="93"/>
      <c r="C656" s="93"/>
      <c r="D656" s="93"/>
      <c r="E656" s="93"/>
      <c r="F656" s="86"/>
      <c r="G656" s="86"/>
      <c r="H656" s="86"/>
      <c r="I656" s="86"/>
      <c r="J656" s="86"/>
    </row>
    <row r="657" spans="1:19" ht="15.75" customHeight="1">
      <c r="A657" s="6"/>
      <c r="B657" s="278" t="s">
        <v>52</v>
      </c>
      <c r="C657" s="95"/>
      <c r="D657" s="95"/>
      <c r="E657" s="278"/>
      <c r="F657" s="294" t="s">
        <v>46</v>
      </c>
      <c r="G657" s="294" t="s">
        <v>142</v>
      </c>
      <c r="H657" s="296" t="s">
        <v>437</v>
      </c>
      <c r="I657" s="296"/>
      <c r="J657" s="296"/>
      <c r="K657" s="296" t="s">
        <v>438</v>
      </c>
      <c r="L657" s="296"/>
      <c r="M657" s="296"/>
      <c r="N657" s="299" t="s">
        <v>465</v>
      </c>
      <c r="O657" s="293" t="s">
        <v>495</v>
      </c>
      <c r="P657" s="294" t="s">
        <v>507</v>
      </c>
    </row>
    <row r="658" spans="1:19" ht="18">
      <c r="A658" s="6"/>
      <c r="B658" s="278" t="s">
        <v>496</v>
      </c>
      <c r="C658" s="95"/>
      <c r="D658" s="95"/>
      <c r="E658" s="278"/>
      <c r="F658" s="294"/>
      <c r="G658" s="294"/>
      <c r="H658" s="125" t="s">
        <v>417</v>
      </c>
      <c r="I658" s="125" t="s">
        <v>506</v>
      </c>
      <c r="J658" s="125" t="s">
        <v>418</v>
      </c>
      <c r="K658" s="125" t="s">
        <v>417</v>
      </c>
      <c r="L658" s="125" t="s">
        <v>506</v>
      </c>
      <c r="M658" s="125" t="s">
        <v>418</v>
      </c>
      <c r="N658" s="300"/>
      <c r="O658" s="293"/>
      <c r="P658" s="294"/>
    </row>
    <row r="659" spans="1:19" s="112" customFormat="1" ht="17.25">
      <c r="A659" s="133"/>
      <c r="B659" s="270" t="s">
        <v>420</v>
      </c>
      <c r="C659" s="128"/>
      <c r="D659" s="128"/>
      <c r="E659" s="270"/>
      <c r="F659" s="128" t="s">
        <v>47</v>
      </c>
      <c r="G659" s="129" t="s">
        <v>508</v>
      </c>
      <c r="H659" s="128" t="s">
        <v>509</v>
      </c>
      <c r="I659" s="128" t="s">
        <v>510</v>
      </c>
      <c r="J659" s="128" t="s">
        <v>146</v>
      </c>
      <c r="K659" s="128" t="s">
        <v>509</v>
      </c>
      <c r="L659" s="128" t="s">
        <v>510</v>
      </c>
      <c r="M659" s="128" t="s">
        <v>146</v>
      </c>
      <c r="N659" s="5" t="s">
        <v>146</v>
      </c>
      <c r="O659" s="128" t="s">
        <v>523</v>
      </c>
      <c r="P659" s="128" t="s">
        <v>512</v>
      </c>
      <c r="Q659" s="129"/>
      <c r="S659" s="111"/>
    </row>
    <row r="660" spans="1:19">
      <c r="A660" s="6"/>
      <c r="B660" s="271"/>
      <c r="C660" s="65"/>
      <c r="D660" s="65"/>
      <c r="E660" s="271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86"/>
    </row>
    <row r="661" spans="1:19">
      <c r="A661" s="6"/>
      <c r="B661" s="271" t="s">
        <v>57</v>
      </c>
      <c r="C661" s="65"/>
      <c r="D661" s="65"/>
      <c r="E661" s="271"/>
      <c r="F661" s="65">
        <v>3.53</v>
      </c>
      <c r="G661" s="65">
        <v>0.45</v>
      </c>
      <c r="H661" s="65">
        <v>0.70499999999999996</v>
      </c>
      <c r="I661" s="65">
        <v>14.1</v>
      </c>
      <c r="J661" s="65">
        <v>39.6</v>
      </c>
      <c r="K661" s="65">
        <v>0.307</v>
      </c>
      <c r="L661" s="65">
        <v>6.26</v>
      </c>
      <c r="M661" s="65">
        <v>26.1</v>
      </c>
      <c r="N661" s="65">
        <v>14.9</v>
      </c>
      <c r="O661" s="65">
        <v>0.6</v>
      </c>
      <c r="P661" s="65">
        <v>0.54300000000000004</v>
      </c>
      <c r="Q661" s="86"/>
    </row>
    <row r="662" spans="1:19">
      <c r="A662" s="6"/>
      <c r="B662" s="271" t="s">
        <v>58</v>
      </c>
      <c r="C662" s="65"/>
      <c r="D662" s="65"/>
      <c r="E662" s="271"/>
      <c r="F662" s="65">
        <v>4.3499999999999996</v>
      </c>
      <c r="G662" s="65">
        <v>0.55400000000000005</v>
      </c>
      <c r="H662" s="65">
        <v>0.85399999999999998</v>
      </c>
      <c r="I662" s="65">
        <v>17.100000000000001</v>
      </c>
      <c r="J662" s="65">
        <v>39.299999999999997</v>
      </c>
      <c r="K662" s="65">
        <v>0.36599999999999999</v>
      </c>
      <c r="L662" s="65">
        <v>7.5</v>
      </c>
      <c r="M662" s="65">
        <v>25.7</v>
      </c>
      <c r="N662" s="65">
        <v>14.7</v>
      </c>
      <c r="O662" s="65">
        <v>1.1499999999999999</v>
      </c>
      <c r="P662" s="65">
        <v>0.65</v>
      </c>
      <c r="Q662" s="86"/>
    </row>
    <row r="663" spans="1:19">
      <c r="A663" s="6"/>
      <c r="B663" s="271" t="s">
        <v>59</v>
      </c>
      <c r="C663" s="65"/>
      <c r="D663" s="65"/>
      <c r="E663" s="271"/>
      <c r="F663" s="65">
        <v>5.13</v>
      </c>
      <c r="G663" s="65">
        <v>0.65300000000000002</v>
      </c>
      <c r="H663" s="65">
        <v>0.99099999999999999</v>
      </c>
      <c r="I663" s="65">
        <v>19.8</v>
      </c>
      <c r="J663" s="65">
        <v>39</v>
      </c>
      <c r="K663" s="65">
        <v>0.41799999999999998</v>
      </c>
      <c r="L663" s="65">
        <v>8.6199999999999992</v>
      </c>
      <c r="M663" s="65">
        <v>25.3</v>
      </c>
      <c r="N663" s="65">
        <v>14.5</v>
      </c>
      <c r="O663" s="65">
        <v>1.96</v>
      </c>
      <c r="P663" s="65">
        <v>0.746</v>
      </c>
      <c r="Q663" s="86"/>
    </row>
    <row r="664" spans="1:19">
      <c r="A664" s="6"/>
      <c r="B664" s="271" t="s">
        <v>56</v>
      </c>
      <c r="C664" s="65"/>
      <c r="D664" s="65"/>
      <c r="E664" s="271"/>
      <c r="F664" s="65" t="s">
        <v>135</v>
      </c>
      <c r="G664" s="65" t="s">
        <v>135</v>
      </c>
      <c r="H664" s="65" t="s">
        <v>135</v>
      </c>
      <c r="I664" s="65" t="s">
        <v>135</v>
      </c>
      <c r="J664" s="65" t="s">
        <v>135</v>
      </c>
      <c r="K664" s="65" t="s">
        <v>135</v>
      </c>
      <c r="L664" s="65" t="s">
        <v>135</v>
      </c>
      <c r="M664" s="65" t="s">
        <v>135</v>
      </c>
      <c r="N664" s="65" t="s">
        <v>135</v>
      </c>
      <c r="O664" s="65" t="s">
        <v>135</v>
      </c>
      <c r="P664" s="65"/>
      <c r="Q664" s="86"/>
    </row>
    <row r="665" spans="1:19">
      <c r="A665" s="6"/>
      <c r="B665" s="271" t="s">
        <v>63</v>
      </c>
      <c r="C665" s="65"/>
      <c r="D665" s="65"/>
      <c r="E665" s="271"/>
      <c r="F665" s="65">
        <v>3.93</v>
      </c>
      <c r="G665" s="65">
        <v>0.5</v>
      </c>
      <c r="H665" s="65">
        <v>1.19</v>
      </c>
      <c r="I665" s="65">
        <v>19.100000000000001</v>
      </c>
      <c r="J665" s="65">
        <v>48.8</v>
      </c>
      <c r="K665" s="65">
        <v>0.307</v>
      </c>
      <c r="L665" s="65">
        <v>6.26</v>
      </c>
      <c r="M665" s="65">
        <v>24.8</v>
      </c>
      <c r="N665" s="65">
        <v>15.2</v>
      </c>
      <c r="O665" s="65">
        <v>0.66700000000000004</v>
      </c>
      <c r="P665" s="65">
        <v>0.873</v>
      </c>
      <c r="Q665" s="86"/>
    </row>
    <row r="666" spans="1:19">
      <c r="A666" s="6"/>
      <c r="B666" s="271" t="s">
        <v>64</v>
      </c>
      <c r="C666" s="65"/>
      <c r="D666" s="65"/>
      <c r="E666" s="271"/>
      <c r="F666" s="65">
        <v>4.84</v>
      </c>
      <c r="G666" s="65">
        <v>0.61599999999999999</v>
      </c>
      <c r="H666" s="65">
        <v>1.45</v>
      </c>
      <c r="I666" s="65">
        <v>23.2</v>
      </c>
      <c r="J666" s="65">
        <v>48.5</v>
      </c>
      <c r="K666" s="65">
        <v>0.36599999999999999</v>
      </c>
      <c r="L666" s="65">
        <v>7.5</v>
      </c>
      <c r="M666" s="65">
        <v>24.4</v>
      </c>
      <c r="N666" s="65">
        <v>15</v>
      </c>
      <c r="O666" s="65">
        <v>1.28</v>
      </c>
      <c r="P666" s="65">
        <v>0.98699999999999999</v>
      </c>
      <c r="Q666" s="86"/>
    </row>
    <row r="667" spans="1:19">
      <c r="A667" s="6"/>
      <c r="B667" s="271" t="s">
        <v>65</v>
      </c>
      <c r="C667" s="65"/>
      <c r="D667" s="65"/>
      <c r="E667" s="271"/>
      <c r="F667" s="65">
        <v>5.72</v>
      </c>
      <c r="G667" s="65">
        <v>0.72799999999999998</v>
      </c>
      <c r="H667" s="65">
        <v>1.69</v>
      </c>
      <c r="I667" s="65">
        <v>27</v>
      </c>
      <c r="J667" s="65">
        <v>48.1</v>
      </c>
      <c r="K667" s="65">
        <v>0.41799999999999998</v>
      </c>
      <c r="L667" s="65">
        <v>8.6199999999999992</v>
      </c>
      <c r="M667" s="65">
        <v>24</v>
      </c>
      <c r="N667" s="65">
        <v>14.8</v>
      </c>
      <c r="O667" s="65">
        <v>2.1800000000000002</v>
      </c>
      <c r="P667" s="65">
        <v>1.1200000000000001</v>
      </c>
      <c r="Q667" s="86"/>
    </row>
    <row r="668" spans="1:19">
      <c r="A668" s="6"/>
      <c r="B668" s="271" t="s">
        <v>56</v>
      </c>
      <c r="C668" s="65"/>
      <c r="D668" s="65"/>
      <c r="E668" s="271"/>
      <c r="F668" s="65" t="s">
        <v>135</v>
      </c>
      <c r="G668" s="65" t="s">
        <v>135</v>
      </c>
      <c r="H668" s="65" t="s">
        <v>135</v>
      </c>
      <c r="I668" s="65" t="s">
        <v>135</v>
      </c>
      <c r="J668" s="65" t="s">
        <v>135</v>
      </c>
      <c r="K668" s="65" t="s">
        <v>135</v>
      </c>
      <c r="L668" s="65" t="s">
        <v>135</v>
      </c>
      <c r="M668" s="65" t="s">
        <v>135</v>
      </c>
      <c r="N668" s="65" t="s">
        <v>135</v>
      </c>
      <c r="O668" s="65" t="s">
        <v>135</v>
      </c>
      <c r="P668" s="65"/>
      <c r="Q668" s="86"/>
    </row>
    <row r="669" spans="1:19">
      <c r="A669" s="6"/>
      <c r="B669" s="271" t="s">
        <v>66</v>
      </c>
      <c r="C669" s="65"/>
      <c r="D669" s="65"/>
      <c r="E669" s="271"/>
      <c r="F669" s="65">
        <v>4.4000000000000004</v>
      </c>
      <c r="G669" s="65">
        <v>0.56000000000000005</v>
      </c>
      <c r="H669" s="65">
        <v>1.42</v>
      </c>
      <c r="I669" s="65">
        <v>22.7</v>
      </c>
      <c r="J669" s="65">
        <v>50.3</v>
      </c>
      <c r="K669" s="65">
        <v>0.60799999999999998</v>
      </c>
      <c r="L669" s="65">
        <v>9.49</v>
      </c>
      <c r="M669" s="65">
        <v>32.9</v>
      </c>
      <c r="N669" s="65">
        <v>18.7</v>
      </c>
      <c r="O669" s="65">
        <v>0.747</v>
      </c>
      <c r="P669" s="65">
        <v>1.6</v>
      </c>
      <c r="Q669" s="86"/>
    </row>
    <row r="670" spans="1:19">
      <c r="A670" s="6"/>
      <c r="B670" s="271" t="s">
        <v>67</v>
      </c>
      <c r="C670" s="65"/>
      <c r="D670" s="65"/>
      <c r="E670" s="271"/>
      <c r="F670" s="65">
        <v>5.42</v>
      </c>
      <c r="G670" s="65">
        <v>0.69099999999999995</v>
      </c>
      <c r="H670" s="65">
        <v>1.73</v>
      </c>
      <c r="I670" s="65">
        <v>27.7</v>
      </c>
      <c r="J670" s="65">
        <v>50</v>
      </c>
      <c r="K670" s="65">
        <v>0.73099999999999998</v>
      </c>
      <c r="L670" s="65">
        <v>11.5</v>
      </c>
      <c r="M670" s="65">
        <v>32.5</v>
      </c>
      <c r="N670" s="65">
        <v>18.399999999999999</v>
      </c>
      <c r="O670" s="65">
        <v>1.44</v>
      </c>
      <c r="P670" s="65">
        <v>1.93</v>
      </c>
      <c r="Q670" s="86"/>
    </row>
    <row r="671" spans="1:19">
      <c r="A671" s="6"/>
      <c r="B671" s="271" t="s">
        <v>68</v>
      </c>
      <c r="C671" s="65"/>
      <c r="D671" s="65"/>
      <c r="E671" s="271"/>
      <c r="F671" s="65">
        <v>6.42</v>
      </c>
      <c r="G671" s="65">
        <v>0.81799999999999995</v>
      </c>
      <c r="H671" s="65">
        <v>2.02</v>
      </c>
      <c r="I671" s="65">
        <v>32.299999999999997</v>
      </c>
      <c r="J671" s="65">
        <v>49.7</v>
      </c>
      <c r="K671" s="65">
        <v>0.84299999999999997</v>
      </c>
      <c r="L671" s="65">
        <v>13.3</v>
      </c>
      <c r="M671" s="65">
        <v>32.1</v>
      </c>
      <c r="N671" s="65">
        <v>18.2</v>
      </c>
      <c r="O671" s="65">
        <v>2.4500000000000002</v>
      </c>
      <c r="P671" s="65">
        <v>2.23</v>
      </c>
      <c r="Q671" s="86"/>
    </row>
    <row r="672" spans="1:19">
      <c r="A672" s="6"/>
      <c r="B672" s="271" t="s">
        <v>56</v>
      </c>
      <c r="C672" s="65"/>
      <c r="D672" s="65"/>
      <c r="E672" s="271"/>
      <c r="F672" s="65" t="s">
        <v>135</v>
      </c>
      <c r="G672" s="65" t="s">
        <v>135</v>
      </c>
      <c r="H672" s="65" t="s">
        <v>135</v>
      </c>
      <c r="I672" s="65" t="s">
        <v>135</v>
      </c>
      <c r="J672" s="65" t="s">
        <v>135</v>
      </c>
      <c r="K672" s="65" t="s">
        <v>135</v>
      </c>
      <c r="L672" s="65" t="s">
        <v>135</v>
      </c>
      <c r="M672" s="65" t="s">
        <v>135</v>
      </c>
      <c r="N672" s="65" t="s">
        <v>135</v>
      </c>
      <c r="O672" s="65" t="s">
        <v>135</v>
      </c>
      <c r="P672" s="65"/>
      <c r="Q672" s="86"/>
    </row>
    <row r="673" spans="1:17">
      <c r="A673" s="6"/>
      <c r="B673" s="271" t="s">
        <v>69</v>
      </c>
      <c r="C673" s="65"/>
      <c r="D673" s="65"/>
      <c r="E673" s="271"/>
      <c r="F673" s="65">
        <v>4.71</v>
      </c>
      <c r="G673" s="65">
        <v>0.6</v>
      </c>
      <c r="H673" s="65">
        <v>1.57</v>
      </c>
      <c r="I673" s="65">
        <v>25.1</v>
      </c>
      <c r="J673" s="65">
        <v>51.1</v>
      </c>
      <c r="K673" s="65">
        <v>0.88700000000000001</v>
      </c>
      <c r="L673" s="65">
        <v>12</v>
      </c>
      <c r="M673" s="65">
        <v>38.4</v>
      </c>
      <c r="N673" s="65">
        <v>20.6</v>
      </c>
      <c r="O673" s="65">
        <v>0.8</v>
      </c>
      <c r="P673" s="65">
        <v>2.2200000000000002</v>
      </c>
      <c r="Q673" s="86"/>
    </row>
    <row r="674" spans="1:17">
      <c r="A674" s="6"/>
      <c r="B674" s="271" t="s">
        <v>70</v>
      </c>
      <c r="C674" s="65"/>
      <c r="D674" s="65"/>
      <c r="E674" s="271"/>
      <c r="F674" s="65">
        <v>5.82</v>
      </c>
      <c r="G674" s="65">
        <v>0.74099999999999999</v>
      </c>
      <c r="H674" s="65">
        <v>1.92</v>
      </c>
      <c r="I674" s="65">
        <v>30.7</v>
      </c>
      <c r="J674" s="65">
        <v>50.8</v>
      </c>
      <c r="K674" s="65">
        <v>1.07</v>
      </c>
      <c r="L674" s="65">
        <v>14.5</v>
      </c>
      <c r="M674" s="65">
        <v>38</v>
      </c>
      <c r="N674" s="65">
        <v>20.3</v>
      </c>
      <c r="O674" s="65">
        <v>1.54</v>
      </c>
      <c r="P674" s="65">
        <v>2.69</v>
      </c>
      <c r="Q674" s="86"/>
    </row>
    <row r="675" spans="1:17">
      <c r="A675" s="6"/>
      <c r="B675" s="271" t="s">
        <v>71</v>
      </c>
      <c r="C675" s="65"/>
      <c r="D675" s="65"/>
      <c r="E675" s="271"/>
      <c r="F675" s="65">
        <v>6.89</v>
      </c>
      <c r="G675" s="65">
        <v>0.878</v>
      </c>
      <c r="H675" s="65">
        <v>2.2400000000000002</v>
      </c>
      <c r="I675" s="65">
        <v>35.9</v>
      </c>
      <c r="J675" s="65">
        <v>50.6</v>
      </c>
      <c r="K675" s="65">
        <v>1.24</v>
      </c>
      <c r="L675" s="65">
        <v>16.899999999999999</v>
      </c>
      <c r="M675" s="65">
        <v>37.6</v>
      </c>
      <c r="N675" s="65">
        <v>20.100000000000001</v>
      </c>
      <c r="O675" s="65">
        <v>2.63</v>
      </c>
      <c r="P675" s="65">
        <v>3.13</v>
      </c>
      <c r="Q675" s="86"/>
    </row>
    <row r="676" spans="1:17">
      <c r="A676" s="6"/>
      <c r="B676" s="271" t="s">
        <v>56</v>
      </c>
      <c r="C676" s="65"/>
      <c r="D676" s="65"/>
      <c r="E676" s="271"/>
      <c r="F676" s="65" t="s">
        <v>135</v>
      </c>
      <c r="G676" s="65" t="s">
        <v>135</v>
      </c>
      <c r="H676" s="65" t="s">
        <v>135</v>
      </c>
      <c r="I676" s="65" t="s">
        <v>135</v>
      </c>
      <c r="J676" s="65" t="s">
        <v>135</v>
      </c>
      <c r="K676" s="65" t="s">
        <v>135</v>
      </c>
      <c r="L676" s="65" t="s">
        <v>135</v>
      </c>
      <c r="M676" s="65" t="s">
        <v>135</v>
      </c>
      <c r="N676" s="65" t="s">
        <v>135</v>
      </c>
      <c r="O676" s="65" t="s">
        <v>135</v>
      </c>
      <c r="P676" s="65"/>
      <c r="Q676" s="86"/>
    </row>
    <row r="677" spans="1:17">
      <c r="A677" s="6"/>
      <c r="B677" s="271" t="s">
        <v>72</v>
      </c>
      <c r="C677" s="65"/>
      <c r="D677" s="65"/>
      <c r="E677" s="271"/>
      <c r="F677" s="65">
        <v>4.32</v>
      </c>
      <c r="G677" s="65">
        <v>0.55000000000000004</v>
      </c>
      <c r="H677" s="65">
        <v>1.83</v>
      </c>
      <c r="I677" s="65">
        <v>24.5</v>
      </c>
      <c r="J677" s="65">
        <v>57.7</v>
      </c>
      <c r="K677" s="65">
        <v>0.307</v>
      </c>
      <c r="L677" s="65">
        <v>6.26</v>
      </c>
      <c r="M677" s="65">
        <v>23.6</v>
      </c>
      <c r="N677" s="65">
        <v>15.3</v>
      </c>
      <c r="O677" s="65">
        <v>0.73399999999999999</v>
      </c>
      <c r="P677" s="65">
        <v>1.29</v>
      </c>
      <c r="Q677" s="86"/>
    </row>
    <row r="678" spans="1:17">
      <c r="A678" s="6"/>
      <c r="B678" s="271" t="s">
        <v>73</v>
      </c>
      <c r="C678" s="65"/>
      <c r="D678" s="65"/>
      <c r="E678" s="271"/>
      <c r="F678" s="65">
        <v>5.33</v>
      </c>
      <c r="G678" s="65">
        <v>0.67900000000000005</v>
      </c>
      <c r="H678" s="65">
        <v>2.23</v>
      </c>
      <c r="I678" s="65">
        <v>29.8</v>
      </c>
      <c r="J678" s="65">
        <v>57.4</v>
      </c>
      <c r="K678" s="65">
        <v>0.36599999999999999</v>
      </c>
      <c r="L678" s="65">
        <v>7.5</v>
      </c>
      <c r="M678" s="65">
        <v>23.2</v>
      </c>
      <c r="N678" s="65">
        <v>15</v>
      </c>
      <c r="O678" s="65">
        <v>1.41</v>
      </c>
      <c r="P678" s="65">
        <v>1.56</v>
      </c>
      <c r="Q678" s="86"/>
    </row>
    <row r="679" spans="1:17">
      <c r="A679" s="6"/>
      <c r="B679" s="271" t="s">
        <v>74</v>
      </c>
      <c r="C679" s="65"/>
      <c r="D679" s="65"/>
      <c r="E679" s="271"/>
      <c r="F679" s="65">
        <v>6.3</v>
      </c>
      <c r="G679" s="65">
        <v>0.80300000000000005</v>
      </c>
      <c r="H679" s="65">
        <v>2.61</v>
      </c>
      <c r="I679" s="65">
        <v>34.799999999999997</v>
      </c>
      <c r="J679" s="65">
        <v>57</v>
      </c>
      <c r="K679" s="65">
        <v>0.41799999999999998</v>
      </c>
      <c r="L679" s="65">
        <v>8.6199999999999992</v>
      </c>
      <c r="M679" s="65">
        <v>22.8</v>
      </c>
      <c r="N679" s="65">
        <v>14.9</v>
      </c>
      <c r="O679" s="65">
        <v>2.41</v>
      </c>
      <c r="P679" s="65">
        <v>1.8</v>
      </c>
      <c r="Q679" s="86"/>
    </row>
    <row r="680" spans="1:17">
      <c r="A680" s="6"/>
      <c r="B680" s="271" t="s">
        <v>56</v>
      </c>
      <c r="C680" s="65"/>
      <c r="D680" s="65"/>
      <c r="E680" s="271"/>
      <c r="F680" s="65" t="s">
        <v>135</v>
      </c>
      <c r="G680" s="65" t="s">
        <v>135</v>
      </c>
      <c r="H680" s="65" t="s">
        <v>135</v>
      </c>
      <c r="I680" s="65" t="s">
        <v>135</v>
      </c>
      <c r="J680" s="65" t="s">
        <v>135</v>
      </c>
      <c r="K680" s="65" t="s">
        <v>135</v>
      </c>
      <c r="L680" s="65" t="s">
        <v>135</v>
      </c>
      <c r="M680" s="65" t="s">
        <v>135</v>
      </c>
      <c r="N680" s="65" t="s">
        <v>135</v>
      </c>
      <c r="O680" s="65" t="s">
        <v>135</v>
      </c>
      <c r="P680" s="65"/>
      <c r="Q680" s="86"/>
    </row>
    <row r="681" spans="1:17">
      <c r="A681" s="6"/>
      <c r="B681" s="271" t="s">
        <v>75</v>
      </c>
      <c r="C681" s="65"/>
      <c r="D681" s="65"/>
      <c r="E681" s="271"/>
      <c r="F681" s="65">
        <v>4.79</v>
      </c>
      <c r="G681" s="65">
        <v>0.61</v>
      </c>
      <c r="H681" s="65">
        <v>2.16</v>
      </c>
      <c r="I681" s="65">
        <v>28.8</v>
      </c>
      <c r="J681" s="65">
        <v>59.5</v>
      </c>
      <c r="K681" s="65">
        <v>0.60799999999999998</v>
      </c>
      <c r="L681" s="65">
        <v>9.49</v>
      </c>
      <c r="M681" s="65">
        <v>31.61</v>
      </c>
      <c r="N681" s="65">
        <v>19.100000000000001</v>
      </c>
      <c r="O681" s="65">
        <v>0.81399999999999995</v>
      </c>
      <c r="P681" s="65">
        <v>2.38</v>
      </c>
      <c r="Q681" s="86"/>
    </row>
    <row r="682" spans="1:17">
      <c r="A682" s="6"/>
      <c r="B682" s="271" t="s">
        <v>76</v>
      </c>
      <c r="C682" s="65"/>
      <c r="D682" s="65"/>
      <c r="E682" s="271"/>
      <c r="F682" s="65">
        <v>5.92</v>
      </c>
      <c r="G682" s="65">
        <v>0.754</v>
      </c>
      <c r="H682" s="65">
        <v>2.64</v>
      </c>
      <c r="I682" s="65">
        <v>35.200000000000003</v>
      </c>
      <c r="J682" s="65">
        <v>59.2</v>
      </c>
      <c r="K682" s="65">
        <v>0.73099999999999998</v>
      </c>
      <c r="L682" s="65">
        <v>11.5</v>
      </c>
      <c r="M682" s="65">
        <v>31.1</v>
      </c>
      <c r="N682" s="65">
        <v>18.899999999999999</v>
      </c>
      <c r="O682" s="65">
        <v>1.57</v>
      </c>
      <c r="P682" s="65">
        <v>2.87</v>
      </c>
      <c r="Q682" s="86"/>
    </row>
    <row r="683" spans="1:17">
      <c r="A683" s="6"/>
      <c r="B683" s="271" t="s">
        <v>77</v>
      </c>
      <c r="C683" s="65"/>
      <c r="D683" s="65"/>
      <c r="E683" s="271"/>
      <c r="F683" s="65">
        <v>7.01</v>
      </c>
      <c r="G683" s="65">
        <v>0.89300000000000002</v>
      </c>
      <c r="H683" s="65">
        <v>3.1</v>
      </c>
      <c r="I683" s="65">
        <v>41.3</v>
      </c>
      <c r="J683" s="65">
        <v>58.9</v>
      </c>
      <c r="K683" s="65">
        <v>0.84299999999999997</v>
      </c>
      <c r="L683" s="65">
        <v>13.3</v>
      </c>
      <c r="M683" s="65">
        <v>30.7</v>
      </c>
      <c r="N683" s="65">
        <v>18.600000000000001</v>
      </c>
      <c r="O683" s="65">
        <v>2.68</v>
      </c>
      <c r="P683" s="65">
        <v>3.34</v>
      </c>
      <c r="Q683" s="86"/>
    </row>
    <row r="684" spans="1:17">
      <c r="A684" s="6"/>
      <c r="B684" s="271" t="s">
        <v>56</v>
      </c>
      <c r="C684" s="65"/>
      <c r="D684" s="65"/>
      <c r="E684" s="271"/>
      <c r="F684" s="65" t="s">
        <v>135</v>
      </c>
      <c r="G684" s="65" t="s">
        <v>135</v>
      </c>
      <c r="H684" s="65" t="s">
        <v>135</v>
      </c>
      <c r="I684" s="65" t="s">
        <v>135</v>
      </c>
      <c r="J684" s="65" t="s">
        <v>135</v>
      </c>
      <c r="K684" s="65" t="s">
        <v>135</v>
      </c>
      <c r="L684" s="65" t="s">
        <v>135</v>
      </c>
      <c r="M684" s="65" t="s">
        <v>135</v>
      </c>
      <c r="N684" s="65" t="s">
        <v>135</v>
      </c>
      <c r="O684" s="65" t="s">
        <v>135</v>
      </c>
      <c r="P684" s="65"/>
      <c r="Q684" s="86"/>
    </row>
    <row r="685" spans="1:17">
      <c r="A685" s="6"/>
      <c r="B685" s="271" t="s">
        <v>79</v>
      </c>
      <c r="C685" s="65"/>
      <c r="D685" s="65"/>
      <c r="E685" s="271"/>
      <c r="F685" s="65">
        <v>5.0999999999999996</v>
      </c>
      <c r="G685" s="65">
        <v>0.65</v>
      </c>
      <c r="H685" s="65">
        <v>2.38</v>
      </c>
      <c r="I685" s="65">
        <v>31.8</v>
      </c>
      <c r="J685" s="65">
        <v>60.5</v>
      </c>
      <c r="K685" s="65">
        <v>0.88700000000000001</v>
      </c>
      <c r="L685" s="65">
        <v>12</v>
      </c>
      <c r="M685" s="65">
        <v>36.9</v>
      </c>
      <c r="N685" s="65">
        <v>21.4</v>
      </c>
      <c r="O685" s="65">
        <v>0.86699999999999999</v>
      </c>
      <c r="P685" s="65">
        <v>3.32</v>
      </c>
      <c r="Q685" s="86"/>
    </row>
    <row r="686" spans="1:17">
      <c r="A686" s="6"/>
      <c r="B686" s="271" t="s">
        <v>80</v>
      </c>
      <c r="C686" s="65"/>
      <c r="D686" s="65"/>
      <c r="E686" s="271"/>
      <c r="F686" s="65">
        <v>6.31</v>
      </c>
      <c r="G686" s="65">
        <v>0.80400000000000005</v>
      </c>
      <c r="H686" s="65">
        <v>2.91</v>
      </c>
      <c r="I686" s="65">
        <v>38.799999999999997</v>
      </c>
      <c r="J686" s="65">
        <v>60.2</v>
      </c>
      <c r="K686" s="65">
        <v>1.07</v>
      </c>
      <c r="L686" s="65">
        <v>14.5</v>
      </c>
      <c r="M686" s="65">
        <v>36.5</v>
      </c>
      <c r="N686" s="65">
        <v>21.1</v>
      </c>
      <c r="O686" s="65">
        <v>1.67</v>
      </c>
      <c r="P686" s="65">
        <v>4.0199999999999996</v>
      </c>
      <c r="Q686" s="86"/>
    </row>
    <row r="687" spans="1:17">
      <c r="A687" s="6"/>
      <c r="B687" s="271" t="s">
        <v>81</v>
      </c>
      <c r="C687" s="65"/>
      <c r="D687" s="65"/>
      <c r="E687" s="271"/>
      <c r="F687" s="65">
        <v>7.48</v>
      </c>
      <c r="G687" s="65">
        <v>0.95299999999999996</v>
      </c>
      <c r="H687" s="65">
        <v>3.42</v>
      </c>
      <c r="I687" s="65">
        <v>45.6</v>
      </c>
      <c r="J687" s="65">
        <v>59.9</v>
      </c>
      <c r="K687" s="65">
        <v>1.24</v>
      </c>
      <c r="L687" s="65">
        <v>16.899999999999999</v>
      </c>
      <c r="M687" s="65">
        <v>36.1</v>
      </c>
      <c r="N687" s="65">
        <v>20.9</v>
      </c>
      <c r="O687" s="65">
        <v>2.86</v>
      </c>
      <c r="P687" s="65">
        <v>4.68</v>
      </c>
      <c r="Q687" s="86"/>
    </row>
    <row r="688" spans="1:17">
      <c r="A688" s="6"/>
      <c r="B688" s="271" t="s">
        <v>82</v>
      </c>
      <c r="C688" s="65"/>
      <c r="D688" s="65"/>
      <c r="E688" s="271"/>
      <c r="F688" s="65">
        <v>8.6300000000000008</v>
      </c>
      <c r="G688" s="65">
        <v>1.1000000000000001</v>
      </c>
      <c r="H688" s="65">
        <v>3.9</v>
      </c>
      <c r="I688" s="65">
        <v>52</v>
      </c>
      <c r="J688" s="65">
        <v>59.6</v>
      </c>
      <c r="K688" s="65">
        <v>1.4</v>
      </c>
      <c r="L688" s="65">
        <v>19.100000000000001</v>
      </c>
      <c r="M688" s="65">
        <v>35.700000000000003</v>
      </c>
      <c r="N688" s="65">
        <v>20.6</v>
      </c>
      <c r="O688" s="65">
        <v>4.49</v>
      </c>
      <c r="P688" s="65">
        <v>5.3</v>
      </c>
      <c r="Q688" s="86"/>
    </row>
    <row r="689" spans="1:19">
      <c r="A689" s="6"/>
      <c r="B689" s="271" t="s">
        <v>109</v>
      </c>
      <c r="C689" s="65"/>
      <c r="D689" s="65"/>
      <c r="E689" s="271"/>
      <c r="F689" s="65">
        <v>10.8</v>
      </c>
      <c r="G689" s="65">
        <v>1.38</v>
      </c>
      <c r="H689" s="65">
        <v>4.79</v>
      </c>
      <c r="I689" s="65">
        <v>63.9</v>
      </c>
      <c r="J689" s="65">
        <v>58.9</v>
      </c>
      <c r="K689" s="65">
        <v>1.67</v>
      </c>
      <c r="L689" s="65">
        <v>22.9</v>
      </c>
      <c r="M689" s="65">
        <v>34.799999999999997</v>
      </c>
      <c r="N689" s="65">
        <v>20.2</v>
      </c>
      <c r="O689" s="65">
        <v>9.31</v>
      </c>
      <c r="P689" s="65">
        <v>6.4</v>
      </c>
      <c r="Q689" s="86"/>
    </row>
    <row r="690" spans="1:19">
      <c r="A690" s="6"/>
      <c r="B690" s="271" t="s">
        <v>56</v>
      </c>
      <c r="C690" s="65"/>
      <c r="D690" s="65"/>
      <c r="E690" s="271"/>
      <c r="F690" s="65" t="s">
        <v>135</v>
      </c>
      <c r="G690" s="65" t="s">
        <v>135</v>
      </c>
      <c r="H690" s="65" t="s">
        <v>135</v>
      </c>
      <c r="I690" s="65" t="s">
        <v>135</v>
      </c>
      <c r="J690" s="65" t="s">
        <v>135</v>
      </c>
      <c r="K690" s="65" t="s">
        <v>135</v>
      </c>
      <c r="L690" s="65" t="s">
        <v>135</v>
      </c>
      <c r="M690" s="65" t="s">
        <v>135</v>
      </c>
      <c r="N690" s="65" t="s">
        <v>135</v>
      </c>
      <c r="O690" s="65" t="s">
        <v>135</v>
      </c>
      <c r="P690" s="65"/>
      <c r="Q690" s="86"/>
    </row>
    <row r="691" spans="1:19">
      <c r="A691" s="6"/>
      <c r="B691" s="271" t="s">
        <v>92</v>
      </c>
      <c r="C691" s="65"/>
      <c r="D691" s="65"/>
      <c r="E691" s="271"/>
      <c r="F691" s="65">
        <v>6.8</v>
      </c>
      <c r="G691" s="65">
        <v>0.86599999999999999</v>
      </c>
      <c r="H691" s="65">
        <v>4.16</v>
      </c>
      <c r="I691" s="65">
        <v>47.6</v>
      </c>
      <c r="J691" s="65">
        <v>69.3</v>
      </c>
      <c r="K691" s="65">
        <v>1.07</v>
      </c>
      <c r="L691" s="65">
        <v>14.5</v>
      </c>
      <c r="M691" s="65">
        <v>35.200000000000003</v>
      </c>
      <c r="N691" s="65">
        <v>21.5</v>
      </c>
      <c r="O691" s="65">
        <v>1.8</v>
      </c>
      <c r="P691" s="65">
        <v>5.66</v>
      </c>
      <c r="Q691" s="86"/>
    </row>
    <row r="692" spans="1:19">
      <c r="A692" s="6"/>
      <c r="B692" s="271" t="s">
        <v>93</v>
      </c>
      <c r="C692" s="65"/>
      <c r="D692" s="65"/>
      <c r="E692" s="271"/>
      <c r="F692" s="65">
        <v>8.07</v>
      </c>
      <c r="G692" s="65">
        <v>1.03</v>
      </c>
      <c r="H692" s="65">
        <v>4.8899999999999997</v>
      </c>
      <c r="I692" s="65">
        <v>55.9</v>
      </c>
      <c r="J692" s="65">
        <v>69</v>
      </c>
      <c r="K692" s="65">
        <v>1.24</v>
      </c>
      <c r="L692" s="65">
        <v>16.899999999999999</v>
      </c>
      <c r="M692" s="65">
        <v>34.700000000000003</v>
      </c>
      <c r="N692" s="65">
        <v>21.2</v>
      </c>
      <c r="O692" s="65">
        <v>3.08</v>
      </c>
      <c r="P692" s="65">
        <v>6.6</v>
      </c>
      <c r="Q692" s="86"/>
    </row>
    <row r="693" spans="1:19">
      <c r="A693" s="6"/>
      <c r="B693" s="271" t="s">
        <v>94</v>
      </c>
      <c r="C693" s="65"/>
      <c r="D693" s="65"/>
      <c r="E693" s="271"/>
      <c r="F693" s="65">
        <v>9.31</v>
      </c>
      <c r="G693" s="65">
        <v>1.19</v>
      </c>
      <c r="H693" s="65">
        <v>5.59</v>
      </c>
      <c r="I693" s="65">
        <v>63.9</v>
      </c>
      <c r="J693" s="65">
        <v>68.599999999999994</v>
      </c>
      <c r="K693" s="65">
        <v>1.4</v>
      </c>
      <c r="L693" s="65">
        <v>19.100000000000001</v>
      </c>
      <c r="M693" s="65">
        <v>34.299999999999997</v>
      </c>
      <c r="N693" s="65">
        <v>21</v>
      </c>
      <c r="O693" s="65">
        <v>4.84</v>
      </c>
      <c r="P693" s="65">
        <v>7.48</v>
      </c>
      <c r="Q693" s="86"/>
    </row>
    <row r="694" spans="1:19">
      <c r="A694" s="6"/>
      <c r="B694" s="271" t="s">
        <v>95</v>
      </c>
      <c r="C694" s="65"/>
      <c r="D694" s="65"/>
      <c r="E694" s="271"/>
      <c r="F694" s="65">
        <v>11.7</v>
      </c>
      <c r="G694" s="65">
        <v>1.49</v>
      </c>
      <c r="H694" s="65">
        <v>6.89</v>
      </c>
      <c r="I694" s="65">
        <v>78.7</v>
      </c>
      <c r="J694" s="65">
        <v>68</v>
      </c>
      <c r="K694" s="65">
        <v>1.67</v>
      </c>
      <c r="L694" s="65">
        <v>22.9</v>
      </c>
      <c r="M694" s="65">
        <v>33.4</v>
      </c>
      <c r="N694" s="65">
        <v>20.5</v>
      </c>
      <c r="O694" s="65">
        <v>10.1</v>
      </c>
      <c r="P694" s="65">
        <v>9.06</v>
      </c>
      <c r="Q694" s="86"/>
    </row>
    <row r="695" spans="1:19">
      <c r="A695" s="6"/>
      <c r="B695" s="271" t="s">
        <v>56</v>
      </c>
      <c r="C695" s="65"/>
      <c r="D695" s="65"/>
      <c r="E695" s="271"/>
      <c r="F695" s="65" t="s">
        <v>135</v>
      </c>
      <c r="G695" s="65" t="s">
        <v>135</v>
      </c>
      <c r="H695" s="65" t="s">
        <v>135</v>
      </c>
      <c r="I695" s="65" t="s">
        <v>135</v>
      </c>
      <c r="J695" s="65" t="s">
        <v>135</v>
      </c>
      <c r="K695" s="65" t="s">
        <v>135</v>
      </c>
      <c r="L695" s="65" t="s">
        <v>135</v>
      </c>
      <c r="M695" s="65" t="s">
        <v>135</v>
      </c>
      <c r="N695" s="65" t="s">
        <v>135</v>
      </c>
      <c r="O695" s="65" t="s">
        <v>135</v>
      </c>
      <c r="P695" s="65"/>
      <c r="Q695" s="86"/>
    </row>
    <row r="696" spans="1:19">
      <c r="A696" s="6"/>
      <c r="B696" s="271" t="s">
        <v>96</v>
      </c>
      <c r="C696" s="65"/>
      <c r="D696" s="65"/>
      <c r="E696" s="271"/>
      <c r="F696" s="65">
        <v>7.29</v>
      </c>
      <c r="G696" s="65">
        <v>0.92900000000000005</v>
      </c>
      <c r="H696" s="65">
        <v>5.68</v>
      </c>
      <c r="I696" s="65">
        <v>56.8</v>
      </c>
      <c r="J696" s="65">
        <v>78.2</v>
      </c>
      <c r="K696" s="65">
        <v>1.07</v>
      </c>
      <c r="L696" s="65">
        <v>14.5</v>
      </c>
      <c r="M696" s="65">
        <v>34</v>
      </c>
      <c r="N696" s="65">
        <v>21.6</v>
      </c>
      <c r="O696" s="65">
        <v>1.93</v>
      </c>
      <c r="P696" s="65">
        <v>7.62</v>
      </c>
      <c r="Q696" s="86"/>
    </row>
    <row r="697" spans="1:19">
      <c r="A697" s="6"/>
      <c r="B697" s="271" t="s">
        <v>97</v>
      </c>
      <c r="C697" s="65"/>
      <c r="D697" s="65"/>
      <c r="E697" s="271"/>
      <c r="F697" s="65">
        <v>8.66</v>
      </c>
      <c r="G697" s="65">
        <v>1.1000000000000001</v>
      </c>
      <c r="H697" s="65">
        <v>6.69</v>
      </c>
      <c r="I697" s="65">
        <v>66.900000000000006</v>
      </c>
      <c r="J697" s="65">
        <v>77.900000000000006</v>
      </c>
      <c r="K697" s="65">
        <v>1.24</v>
      </c>
      <c r="L697" s="65">
        <v>16.899999999999999</v>
      </c>
      <c r="M697" s="65">
        <v>33.5</v>
      </c>
      <c r="N697" s="65">
        <v>21.4</v>
      </c>
      <c r="O697" s="65">
        <v>3.31</v>
      </c>
      <c r="P697" s="65">
        <v>8.89</v>
      </c>
      <c r="Q697" s="86"/>
    </row>
    <row r="698" spans="1:19">
      <c r="A698" s="6"/>
      <c r="B698" s="271" t="s">
        <v>98</v>
      </c>
      <c r="C698" s="65"/>
      <c r="D698" s="65"/>
      <c r="E698" s="271"/>
      <c r="F698" s="65">
        <v>10</v>
      </c>
      <c r="G698" s="65">
        <v>1.27</v>
      </c>
      <c r="H698" s="65">
        <v>7.65</v>
      </c>
      <c r="I698" s="65">
        <v>76.5</v>
      </c>
      <c r="J698" s="65">
        <v>77.5</v>
      </c>
      <c r="K698" s="65">
        <v>1.4</v>
      </c>
      <c r="L698" s="65">
        <v>19.100000000000001</v>
      </c>
      <c r="M698" s="65">
        <v>33.1</v>
      </c>
      <c r="N698" s="65">
        <v>21.1</v>
      </c>
      <c r="O698" s="65">
        <v>5.2</v>
      </c>
      <c r="P698" s="65">
        <v>10.1</v>
      </c>
      <c r="Q698" s="86"/>
    </row>
    <row r="699" spans="1:19">
      <c r="A699" s="6"/>
      <c r="B699" s="271" t="s">
        <v>99</v>
      </c>
      <c r="C699" s="65"/>
      <c r="D699" s="65"/>
      <c r="E699" s="271"/>
      <c r="F699" s="65">
        <v>12.6</v>
      </c>
      <c r="G699" s="65">
        <v>1.6</v>
      </c>
      <c r="H699" s="65">
        <v>9.4499999999999993</v>
      </c>
      <c r="I699" s="65">
        <v>94.5</v>
      </c>
      <c r="J699" s="65">
        <v>76.8</v>
      </c>
      <c r="K699" s="65">
        <v>1.67</v>
      </c>
      <c r="L699" s="65">
        <v>22.9</v>
      </c>
      <c r="M699" s="65">
        <v>32.299999999999997</v>
      </c>
      <c r="N699" s="65">
        <v>20.6</v>
      </c>
      <c r="O699" s="65">
        <v>10.8</v>
      </c>
      <c r="P699" s="65">
        <v>12.2</v>
      </c>
      <c r="Q699" s="86"/>
    </row>
    <row r="700" spans="1:19">
      <c r="A700" s="6"/>
      <c r="B700" s="271" t="s">
        <v>56</v>
      </c>
      <c r="C700" s="65"/>
      <c r="D700" s="65"/>
      <c r="E700" s="271"/>
      <c r="F700" s="65" t="s">
        <v>135</v>
      </c>
      <c r="G700" s="65" t="s">
        <v>135</v>
      </c>
      <c r="H700" s="65" t="s">
        <v>135</v>
      </c>
      <c r="I700" s="65" t="s">
        <v>135</v>
      </c>
      <c r="J700" s="65" t="s">
        <v>135</v>
      </c>
      <c r="K700" s="65" t="s">
        <v>135</v>
      </c>
      <c r="L700" s="65" t="s">
        <v>135</v>
      </c>
      <c r="M700" s="65" t="s">
        <v>135</v>
      </c>
      <c r="N700" s="65" t="s">
        <v>135</v>
      </c>
      <c r="O700" s="65" t="s">
        <v>135</v>
      </c>
      <c r="P700" s="65"/>
      <c r="Q700" s="86"/>
    </row>
    <row r="701" spans="1:19">
      <c r="A701" s="6"/>
      <c r="B701" s="271" t="s">
        <v>100</v>
      </c>
      <c r="C701" s="65"/>
      <c r="D701" s="65"/>
      <c r="E701" s="271"/>
      <c r="F701" s="65">
        <v>7.78</v>
      </c>
      <c r="G701" s="65">
        <v>0.99099999999999999</v>
      </c>
      <c r="H701" s="65">
        <v>7.49</v>
      </c>
      <c r="I701" s="65">
        <v>66.599999999999994</v>
      </c>
      <c r="J701" s="65">
        <v>86.9</v>
      </c>
      <c r="K701" s="65">
        <v>1.07</v>
      </c>
      <c r="L701" s="65">
        <v>14.5</v>
      </c>
      <c r="M701" s="65">
        <v>32.9</v>
      </c>
      <c r="N701" s="65">
        <v>21.6</v>
      </c>
      <c r="O701" s="65">
        <v>2.06</v>
      </c>
      <c r="P701" s="65">
        <v>9.9</v>
      </c>
      <c r="Q701" s="86"/>
    </row>
    <row r="702" spans="1:19" ht="12.75" customHeight="1">
      <c r="A702" s="58"/>
      <c r="B702" s="271" t="s">
        <v>101</v>
      </c>
      <c r="C702" s="65"/>
      <c r="D702" s="65"/>
      <c r="E702" s="271"/>
      <c r="F702" s="65">
        <v>9.25</v>
      </c>
      <c r="G702" s="65">
        <v>1.18</v>
      </c>
      <c r="H702" s="65">
        <v>8.83</v>
      </c>
      <c r="I702" s="65">
        <v>78.400000000000006</v>
      </c>
      <c r="J702" s="65">
        <v>86.6</v>
      </c>
      <c r="K702" s="65">
        <v>1.24</v>
      </c>
      <c r="L702" s="65">
        <v>16.899999999999999</v>
      </c>
      <c r="M702" s="65">
        <v>32.5</v>
      </c>
      <c r="N702" s="65">
        <v>21.4</v>
      </c>
      <c r="O702" s="65">
        <v>3.53</v>
      </c>
      <c r="P702" s="65">
        <v>11.6</v>
      </c>
      <c r="Q702" s="86"/>
    </row>
    <row r="703" spans="1:19" s="3" customFormat="1" ht="15.75">
      <c r="A703" s="58"/>
      <c r="B703" s="271" t="s">
        <v>102</v>
      </c>
      <c r="C703" s="65"/>
      <c r="D703" s="65"/>
      <c r="E703" s="271"/>
      <c r="F703" s="65">
        <v>10.7</v>
      </c>
      <c r="G703" s="65">
        <v>1.36</v>
      </c>
      <c r="H703" s="65">
        <v>10.1</v>
      </c>
      <c r="I703" s="65">
        <v>89.9</v>
      </c>
      <c r="J703" s="65">
        <v>86.2</v>
      </c>
      <c r="K703" s="65">
        <v>1.4</v>
      </c>
      <c r="L703" s="65">
        <v>19.100000000000001</v>
      </c>
      <c r="M703" s="65">
        <v>32</v>
      </c>
      <c r="N703" s="65">
        <v>21.1</v>
      </c>
      <c r="O703" s="65">
        <v>5.56</v>
      </c>
      <c r="P703" s="71">
        <v>13.1</v>
      </c>
      <c r="Q703" s="86"/>
      <c r="S703" s="92"/>
    </row>
    <row r="704" spans="1:19">
      <c r="A704" s="58"/>
      <c r="B704" s="271" t="s">
        <v>103</v>
      </c>
      <c r="C704" s="65"/>
      <c r="D704" s="65"/>
      <c r="E704" s="271"/>
      <c r="F704" s="65">
        <v>13.5</v>
      </c>
      <c r="G704" s="65">
        <v>1.72</v>
      </c>
      <c r="H704" s="65">
        <v>12.5</v>
      </c>
      <c r="I704" s="65">
        <v>111</v>
      </c>
      <c r="J704" s="65">
        <v>85.4</v>
      </c>
      <c r="K704" s="65">
        <v>1.67</v>
      </c>
      <c r="L704" s="65">
        <v>22.9</v>
      </c>
      <c r="M704" s="65">
        <v>31.2</v>
      </c>
      <c r="N704" s="65">
        <v>20.6</v>
      </c>
      <c r="O704" s="65">
        <v>11.6</v>
      </c>
      <c r="P704" s="65">
        <v>16</v>
      </c>
      <c r="Q704" s="86"/>
    </row>
    <row r="705" spans="1:18" s="4" customFormat="1">
      <c r="A705" s="58"/>
      <c r="B705" s="286"/>
      <c r="E705" s="2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</row>
    <row r="706" spans="1:18" s="4" customFormat="1">
      <c r="A706" s="58"/>
      <c r="B706" s="272"/>
      <c r="C706" s="86"/>
      <c r="D706" s="86"/>
      <c r="E706" s="272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 spans="1:18" s="4" customFormat="1" ht="20.25">
      <c r="A707" s="58"/>
      <c r="B707" s="93" t="s">
        <v>132</v>
      </c>
      <c r="C707" s="93"/>
      <c r="D707" s="93"/>
      <c r="E707" s="93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 spans="1:18" s="4" customFormat="1" ht="20.25">
      <c r="A708" s="58"/>
      <c r="B708" s="93"/>
      <c r="C708" s="93"/>
      <c r="D708" s="93"/>
      <c r="E708" s="93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 spans="1:18" s="4" customFormat="1" ht="18.75" customHeight="1">
      <c r="A709" s="58"/>
      <c r="B709" s="278" t="s">
        <v>52</v>
      </c>
      <c r="C709" s="95"/>
      <c r="D709" s="95"/>
      <c r="E709" s="278"/>
      <c r="F709" s="294" t="s">
        <v>46</v>
      </c>
      <c r="G709" s="294" t="s">
        <v>142</v>
      </c>
      <c r="H709" s="289" t="s">
        <v>466</v>
      </c>
      <c r="I709" s="326" t="s">
        <v>467</v>
      </c>
      <c r="J709" s="296" t="s">
        <v>437</v>
      </c>
      <c r="K709" s="296"/>
      <c r="L709" s="296"/>
      <c r="M709" s="296" t="s">
        <v>438</v>
      </c>
      <c r="N709" s="296"/>
      <c r="O709" s="296"/>
      <c r="P709" s="289" t="s">
        <v>465</v>
      </c>
      <c r="Q709" s="293" t="s">
        <v>495</v>
      </c>
      <c r="R709" s="325"/>
    </row>
    <row r="710" spans="1:18" s="4" customFormat="1" ht="18">
      <c r="A710" s="58"/>
      <c r="B710" s="278" t="s">
        <v>496</v>
      </c>
      <c r="C710" s="95"/>
      <c r="D710" s="95"/>
      <c r="E710" s="278"/>
      <c r="F710" s="294"/>
      <c r="G710" s="294"/>
      <c r="H710" s="289"/>
      <c r="I710" s="326"/>
      <c r="J710" s="125" t="s">
        <v>417</v>
      </c>
      <c r="K710" s="125" t="s">
        <v>506</v>
      </c>
      <c r="L710" s="125" t="s">
        <v>418</v>
      </c>
      <c r="M710" s="125" t="s">
        <v>417</v>
      </c>
      <c r="N710" s="125" t="s">
        <v>506</v>
      </c>
      <c r="O710" s="125" t="s">
        <v>418</v>
      </c>
      <c r="P710" s="289"/>
      <c r="Q710" s="293"/>
      <c r="R710" s="325"/>
    </row>
    <row r="711" spans="1:18" ht="17.25">
      <c r="A711" s="58"/>
      <c r="B711" s="270" t="s">
        <v>420</v>
      </c>
      <c r="C711" s="128"/>
      <c r="D711" s="128"/>
      <c r="E711" s="270"/>
      <c r="F711" s="128" t="s">
        <v>47</v>
      </c>
      <c r="G711" s="129" t="s">
        <v>508</v>
      </c>
      <c r="H711" s="5" t="s">
        <v>146</v>
      </c>
      <c r="I711" s="5" t="s">
        <v>146</v>
      </c>
      <c r="J711" s="128" t="s">
        <v>509</v>
      </c>
      <c r="K711" s="128" t="s">
        <v>510</v>
      </c>
      <c r="L711" s="128" t="s">
        <v>146</v>
      </c>
      <c r="M711" s="128" t="s">
        <v>509</v>
      </c>
      <c r="N711" s="128" t="s">
        <v>510</v>
      </c>
      <c r="O711" s="128" t="s">
        <v>146</v>
      </c>
      <c r="P711" s="5" t="s">
        <v>146</v>
      </c>
      <c r="Q711" s="128" t="s">
        <v>523</v>
      </c>
      <c r="R711" s="129"/>
    </row>
    <row r="712" spans="1:18">
      <c r="A712" s="58"/>
      <c r="B712" s="271"/>
      <c r="C712" s="65"/>
      <c r="D712" s="65"/>
      <c r="E712" s="271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</row>
    <row r="713" spans="1:18">
      <c r="A713" s="58"/>
      <c r="B713" s="271" t="s">
        <v>53</v>
      </c>
      <c r="C713" s="65"/>
      <c r="D713" s="65"/>
      <c r="E713" s="271"/>
      <c r="F713" s="65">
        <v>2.42</v>
      </c>
      <c r="G713" s="65">
        <v>0.308</v>
      </c>
      <c r="H713" s="65">
        <v>27.7</v>
      </c>
      <c r="I713" s="65">
        <v>15.1</v>
      </c>
      <c r="J713" s="65">
        <v>0.22900000000000001</v>
      </c>
      <c r="K713" s="65">
        <v>4.83</v>
      </c>
      <c r="L713" s="65">
        <v>27.3</v>
      </c>
      <c r="M713" s="65">
        <v>9.7000000000000003E-2</v>
      </c>
      <c r="N713" s="65">
        <v>2.78</v>
      </c>
      <c r="O713" s="65">
        <v>17.8</v>
      </c>
      <c r="P713" s="65">
        <v>14.6</v>
      </c>
      <c r="Q713" s="65">
        <v>0.42699999999999999</v>
      </c>
    </row>
    <row r="714" spans="1:18">
      <c r="A714" s="58"/>
      <c r="B714" s="271" t="s">
        <v>54</v>
      </c>
      <c r="C714" s="65"/>
      <c r="D714" s="65"/>
      <c r="E714" s="271"/>
      <c r="F714" s="65">
        <v>2.96</v>
      </c>
      <c r="G714" s="65">
        <v>0.378</v>
      </c>
      <c r="H714" s="65">
        <v>27.8</v>
      </c>
      <c r="I714" s="65">
        <v>15.1</v>
      </c>
      <c r="J714" s="65">
        <v>0.27500000000000002</v>
      </c>
      <c r="K714" s="65">
        <v>5.82</v>
      </c>
      <c r="L714" s="65">
        <v>27</v>
      </c>
      <c r="M714" s="65">
        <v>0.11600000000000001</v>
      </c>
      <c r="N714" s="65">
        <v>3.32</v>
      </c>
      <c r="O714" s="65">
        <v>17.5</v>
      </c>
      <c r="P714" s="65">
        <v>14.4</v>
      </c>
      <c r="Q714" s="65">
        <v>0.82799999999999996</v>
      </c>
    </row>
    <row r="715" spans="1:18">
      <c r="A715" s="58"/>
      <c r="B715" s="271" t="s">
        <v>55</v>
      </c>
      <c r="C715" s="65"/>
      <c r="D715" s="65"/>
      <c r="E715" s="271"/>
      <c r="F715" s="65">
        <v>3.49</v>
      </c>
      <c r="G715" s="65">
        <v>0.44500000000000001</v>
      </c>
      <c r="H715" s="65">
        <v>27.9</v>
      </c>
      <c r="I715" s="65">
        <v>15.2</v>
      </c>
      <c r="J715" s="65">
        <v>0.317</v>
      </c>
      <c r="K715" s="65">
        <v>6.73</v>
      </c>
      <c r="L715" s="65">
        <v>26.7</v>
      </c>
      <c r="M715" s="65">
        <v>0.13200000000000001</v>
      </c>
      <c r="N715" s="67">
        <v>3.8</v>
      </c>
      <c r="O715" s="65">
        <v>17.3</v>
      </c>
      <c r="P715" s="65">
        <v>14.2</v>
      </c>
      <c r="Q715" s="65">
        <v>1.42</v>
      </c>
    </row>
    <row r="716" spans="1:18">
      <c r="A716" s="58"/>
      <c r="B716" s="271" t="s">
        <v>56</v>
      </c>
      <c r="C716" s="65"/>
      <c r="D716" s="65"/>
      <c r="E716" s="271"/>
      <c r="F716" s="65" t="s">
        <v>135</v>
      </c>
      <c r="G716" s="65" t="s">
        <v>135</v>
      </c>
      <c r="H716" s="65" t="s">
        <v>135</v>
      </c>
      <c r="I716" s="65" t="s">
        <v>135</v>
      </c>
      <c r="J716" s="65" t="s">
        <v>135</v>
      </c>
      <c r="K716" s="65" t="s">
        <v>135</v>
      </c>
      <c r="L716" s="65" t="s">
        <v>135</v>
      </c>
      <c r="M716" s="65" t="s">
        <v>135</v>
      </c>
      <c r="N716" s="65" t="s">
        <v>135</v>
      </c>
      <c r="O716" s="65" t="s">
        <v>135</v>
      </c>
      <c r="P716" s="65" t="s">
        <v>135</v>
      </c>
      <c r="Q716" s="65" t="s">
        <v>135</v>
      </c>
    </row>
    <row r="717" spans="1:18">
      <c r="A717" s="58"/>
      <c r="B717" s="271" t="s">
        <v>110</v>
      </c>
      <c r="C717" s="65"/>
      <c r="D717" s="65"/>
      <c r="E717" s="271"/>
      <c r="F717" s="65">
        <v>2.96</v>
      </c>
      <c r="G717" s="65">
        <v>0.378</v>
      </c>
      <c r="H717" s="65">
        <v>39.5</v>
      </c>
      <c r="I717" s="65">
        <v>14.3</v>
      </c>
      <c r="J717" s="65">
        <v>0.504</v>
      </c>
      <c r="K717" s="65">
        <v>8.33</v>
      </c>
      <c r="L717" s="65">
        <v>36.5</v>
      </c>
      <c r="M717" s="65">
        <v>0.11899999999999999</v>
      </c>
      <c r="N717" s="65">
        <v>3.33</v>
      </c>
      <c r="O717" s="65">
        <v>17.7</v>
      </c>
      <c r="P717" s="65">
        <v>15.4</v>
      </c>
      <c r="Q717" s="65">
        <v>0.52</v>
      </c>
    </row>
    <row r="718" spans="1:18">
      <c r="A718" s="58"/>
      <c r="B718" s="271" t="s">
        <v>111</v>
      </c>
      <c r="C718" s="65"/>
      <c r="D718" s="65"/>
      <c r="E718" s="271"/>
      <c r="F718" s="65">
        <v>3.65</v>
      </c>
      <c r="G718" s="65">
        <v>0.46500000000000002</v>
      </c>
      <c r="H718" s="65">
        <v>39.6</v>
      </c>
      <c r="I718" s="65">
        <v>14.4</v>
      </c>
      <c r="J718" s="65">
        <v>0.61099999999999999</v>
      </c>
      <c r="K718" s="65">
        <v>10.1</v>
      </c>
      <c r="L718" s="65">
        <v>36.200000000000003</v>
      </c>
      <c r="M718" s="65">
        <v>0.14199999999999999</v>
      </c>
      <c r="N718" s="65">
        <v>3.99</v>
      </c>
      <c r="O718" s="65">
        <v>17.5</v>
      </c>
      <c r="P718" s="65">
        <v>15.2</v>
      </c>
      <c r="Q718" s="65">
        <v>1.01</v>
      </c>
    </row>
    <row r="719" spans="1:18">
      <c r="A719" s="58"/>
      <c r="B719" s="271" t="s">
        <v>112</v>
      </c>
      <c r="C719" s="65"/>
      <c r="D719" s="65"/>
      <c r="E719" s="271"/>
      <c r="F719" s="65">
        <v>4.32</v>
      </c>
      <c r="G719" s="65">
        <v>0.55000000000000004</v>
      </c>
      <c r="H719" s="65">
        <v>39.799999999999997</v>
      </c>
      <c r="I719" s="65">
        <v>14.4</v>
      </c>
      <c r="J719" s="65">
        <v>0.71099999999999997</v>
      </c>
      <c r="K719" s="65">
        <v>11.8</v>
      </c>
      <c r="L719" s="65">
        <v>35.9</v>
      </c>
      <c r="M719" s="65">
        <v>0.16400000000000001</v>
      </c>
      <c r="N719" s="67">
        <v>4.5999999999999996</v>
      </c>
      <c r="O719" s="65">
        <v>17.3</v>
      </c>
      <c r="P719" s="68">
        <v>15</v>
      </c>
      <c r="Q719" s="65">
        <v>1.73</v>
      </c>
    </row>
    <row r="720" spans="1:18" ht="12.75" customHeight="1">
      <c r="A720" s="59"/>
      <c r="B720" s="271" t="s">
        <v>56</v>
      </c>
      <c r="C720" s="65"/>
      <c r="D720" s="65"/>
      <c r="E720" s="271"/>
      <c r="F720" s="65" t="s">
        <v>135</v>
      </c>
      <c r="G720" s="65" t="s">
        <v>135</v>
      </c>
      <c r="H720" s="65" t="s">
        <v>135</v>
      </c>
      <c r="I720" s="65" t="s">
        <v>135</v>
      </c>
      <c r="J720" s="65" t="s">
        <v>135</v>
      </c>
      <c r="K720" s="65" t="s">
        <v>135</v>
      </c>
      <c r="L720" s="65" t="s">
        <v>135</v>
      </c>
      <c r="M720" s="65" t="s">
        <v>135</v>
      </c>
      <c r="N720" s="65" t="s">
        <v>135</v>
      </c>
      <c r="O720" s="65" t="s">
        <v>135</v>
      </c>
      <c r="P720" s="65" t="s">
        <v>135</v>
      </c>
      <c r="Q720" s="65" t="s">
        <v>135</v>
      </c>
    </row>
    <row r="721" spans="1:17">
      <c r="A721" s="59"/>
      <c r="B721" s="271" t="s">
        <v>113</v>
      </c>
      <c r="C721" s="65"/>
      <c r="D721" s="65"/>
      <c r="E721" s="271"/>
      <c r="F721" s="65">
        <v>3.36</v>
      </c>
      <c r="G721" s="65">
        <v>0.42799999999999999</v>
      </c>
      <c r="H721" s="65">
        <v>35</v>
      </c>
      <c r="I721" s="65">
        <v>22.4</v>
      </c>
      <c r="J721" s="65">
        <v>0.56999999999999995</v>
      </c>
      <c r="K721" s="65">
        <v>8.76</v>
      </c>
      <c r="L721" s="65">
        <v>36.5</v>
      </c>
      <c r="M721" s="69">
        <v>0.31</v>
      </c>
      <c r="N721" s="65">
        <v>5.89</v>
      </c>
      <c r="O721" s="65">
        <v>26.9</v>
      </c>
      <c r="P721" s="65">
        <v>21.1</v>
      </c>
      <c r="Q721" s="65">
        <v>0.58699999999999997</v>
      </c>
    </row>
    <row r="722" spans="1:17">
      <c r="A722" s="59"/>
      <c r="B722" s="271" t="s">
        <v>114</v>
      </c>
      <c r="C722" s="65"/>
      <c r="D722" s="65"/>
      <c r="E722" s="271"/>
      <c r="F722" s="65">
        <v>4.1399999999999997</v>
      </c>
      <c r="G722" s="65">
        <v>0.52800000000000002</v>
      </c>
      <c r="H722" s="65">
        <v>35.1</v>
      </c>
      <c r="I722" s="65">
        <v>22.5</v>
      </c>
      <c r="J722" s="65">
        <v>0.69199999999999995</v>
      </c>
      <c r="K722" s="65">
        <v>10.7</v>
      </c>
      <c r="L722" s="65">
        <v>36.200000000000003</v>
      </c>
      <c r="M722" s="65">
        <v>0.375</v>
      </c>
      <c r="N722" s="65">
        <v>7.14</v>
      </c>
      <c r="O722" s="65">
        <v>26.7</v>
      </c>
      <c r="P722" s="65">
        <v>20.9</v>
      </c>
      <c r="Q722" s="65">
        <v>1.1399999999999999</v>
      </c>
    </row>
    <row r="723" spans="1:17">
      <c r="A723" s="59"/>
      <c r="B723" s="271" t="s">
        <v>115</v>
      </c>
      <c r="C723" s="65"/>
      <c r="D723" s="65"/>
      <c r="E723" s="271"/>
      <c r="F723" s="65">
        <v>4.9000000000000004</v>
      </c>
      <c r="G723" s="65">
        <v>0.625</v>
      </c>
      <c r="H723" s="65">
        <v>35.200000000000003</v>
      </c>
      <c r="I723" s="65">
        <v>22.5</v>
      </c>
      <c r="J723" s="65">
        <v>0.80700000000000005</v>
      </c>
      <c r="K723" s="65">
        <v>12.5</v>
      </c>
      <c r="L723" s="65">
        <v>35.9</v>
      </c>
      <c r="M723" s="65">
        <v>0.435</v>
      </c>
      <c r="N723" s="65">
        <v>8.2899999999999991</v>
      </c>
      <c r="O723" s="65">
        <v>26.4</v>
      </c>
      <c r="P723" s="65">
        <v>20.7</v>
      </c>
      <c r="Q723" s="65">
        <v>1.96</v>
      </c>
    </row>
    <row r="724" spans="1:17">
      <c r="A724" s="59"/>
      <c r="B724" s="271" t="s">
        <v>56</v>
      </c>
      <c r="C724" s="65"/>
      <c r="D724" s="65"/>
      <c r="E724" s="271"/>
      <c r="F724" s="65" t="s">
        <v>135</v>
      </c>
      <c r="G724" s="65" t="s">
        <v>135</v>
      </c>
      <c r="H724" s="65" t="s">
        <v>135</v>
      </c>
      <c r="I724" s="65" t="s">
        <v>135</v>
      </c>
      <c r="J724" s="65" t="s">
        <v>135</v>
      </c>
      <c r="K724" s="65" t="s">
        <v>135</v>
      </c>
      <c r="L724" s="65" t="s">
        <v>135</v>
      </c>
      <c r="M724" s="65" t="s">
        <v>135</v>
      </c>
      <c r="N724" s="65" t="s">
        <v>135</v>
      </c>
      <c r="O724" s="65" t="s">
        <v>135</v>
      </c>
      <c r="P724" s="65" t="s">
        <v>135</v>
      </c>
      <c r="Q724" s="65" t="s">
        <v>135</v>
      </c>
    </row>
    <row r="725" spans="1:17">
      <c r="A725" s="59"/>
      <c r="B725" s="271" t="s">
        <v>116</v>
      </c>
      <c r="C725" s="65"/>
      <c r="D725" s="65"/>
      <c r="E725" s="271"/>
      <c r="F725" s="65">
        <v>3.59</v>
      </c>
      <c r="G725" s="65">
        <v>0.45800000000000002</v>
      </c>
      <c r="H725" s="65">
        <v>41.2</v>
      </c>
      <c r="I725" s="65">
        <v>21</v>
      </c>
      <c r="J725" s="65">
        <v>0.80200000000000005</v>
      </c>
      <c r="K725" s="65">
        <v>10.9</v>
      </c>
      <c r="L725" s="65">
        <v>41.8</v>
      </c>
      <c r="M725" s="65">
        <v>0.32300000000000001</v>
      </c>
      <c r="N725" s="65">
        <v>5.98</v>
      </c>
      <c r="O725" s="65">
        <v>26.5</v>
      </c>
      <c r="P725" s="65">
        <v>21.3</v>
      </c>
      <c r="Q725" s="65">
        <v>0.627</v>
      </c>
    </row>
    <row r="726" spans="1:17">
      <c r="A726" s="59"/>
      <c r="B726" s="271" t="s">
        <v>117</v>
      </c>
      <c r="C726" s="65"/>
      <c r="D726" s="65"/>
      <c r="E726" s="271"/>
      <c r="F726" s="65">
        <v>4.4400000000000004</v>
      </c>
      <c r="G726" s="65">
        <v>0.56499999999999995</v>
      </c>
      <c r="H726" s="65">
        <v>41.2</v>
      </c>
      <c r="I726" s="65">
        <v>21.1</v>
      </c>
      <c r="J726" s="65">
        <v>0.97699999999999998</v>
      </c>
      <c r="K726" s="65">
        <v>13.2</v>
      </c>
      <c r="L726" s="65">
        <v>41.6</v>
      </c>
      <c r="M726" s="65">
        <v>0.39100000000000001</v>
      </c>
      <c r="N726" s="65">
        <v>7.24</v>
      </c>
      <c r="O726" s="65">
        <v>26.3</v>
      </c>
      <c r="P726" s="65">
        <v>21.1</v>
      </c>
      <c r="Q726" s="65">
        <v>1.22</v>
      </c>
    </row>
    <row r="727" spans="1:17">
      <c r="A727" s="59"/>
      <c r="B727" s="271" t="s">
        <v>118</v>
      </c>
      <c r="C727" s="65"/>
      <c r="D727" s="65"/>
      <c r="E727" s="271"/>
      <c r="F727" s="65">
        <v>5.26</v>
      </c>
      <c r="G727" s="65">
        <v>0.67</v>
      </c>
      <c r="H727" s="65">
        <v>41.3</v>
      </c>
      <c r="I727" s="65">
        <v>21.1</v>
      </c>
      <c r="J727" s="65">
        <v>1.1399999999999999</v>
      </c>
      <c r="K727" s="65">
        <v>15.5</v>
      </c>
      <c r="L727" s="65">
        <v>41.3</v>
      </c>
      <c r="M727" s="65">
        <v>0.45400000000000001</v>
      </c>
      <c r="N727" s="65">
        <v>8.42</v>
      </c>
      <c r="O727" s="68">
        <v>26</v>
      </c>
      <c r="P727" s="65">
        <v>20.9</v>
      </c>
      <c r="Q727" s="65">
        <v>2.09</v>
      </c>
    </row>
    <row r="728" spans="1:17">
      <c r="A728" s="59"/>
      <c r="B728" s="271" t="s">
        <v>56</v>
      </c>
      <c r="C728" s="65"/>
      <c r="D728" s="65"/>
      <c r="E728" s="271"/>
      <c r="F728" s="65" t="s">
        <v>135</v>
      </c>
      <c r="G728" s="65" t="s">
        <v>135</v>
      </c>
      <c r="H728" s="65" t="s">
        <v>135</v>
      </c>
      <c r="I728" s="65" t="s">
        <v>135</v>
      </c>
      <c r="J728" s="65" t="s">
        <v>135</v>
      </c>
      <c r="K728" s="65" t="s">
        <v>135</v>
      </c>
      <c r="L728" s="65" t="s">
        <v>135</v>
      </c>
      <c r="M728" s="65" t="s">
        <v>135</v>
      </c>
      <c r="N728" s="65" t="s">
        <v>135</v>
      </c>
      <c r="O728" s="68" t="s">
        <v>135</v>
      </c>
      <c r="P728" s="65" t="s">
        <v>135</v>
      </c>
      <c r="Q728" s="65" t="s">
        <v>135</v>
      </c>
    </row>
    <row r="729" spans="1:17">
      <c r="A729" s="59"/>
      <c r="B729" s="271" t="s">
        <v>119</v>
      </c>
      <c r="C729" s="65"/>
      <c r="D729" s="65"/>
      <c r="E729" s="271"/>
      <c r="F729" s="65">
        <v>4.63</v>
      </c>
      <c r="G729" s="65">
        <v>0.59</v>
      </c>
      <c r="H729" s="65">
        <v>45.4</v>
      </c>
      <c r="I729" s="65">
        <v>20.2</v>
      </c>
      <c r="J729" s="67">
        <v>1.2</v>
      </c>
      <c r="K729" s="65">
        <v>15.1</v>
      </c>
      <c r="L729" s="65">
        <v>45.1</v>
      </c>
      <c r="M729" s="69">
        <v>0.4</v>
      </c>
      <c r="N729" s="67">
        <v>7.3</v>
      </c>
      <c r="O729" s="68">
        <v>26</v>
      </c>
      <c r="P729" s="65">
        <v>21.2</v>
      </c>
      <c r="Q729" s="65">
        <v>1.27</v>
      </c>
    </row>
    <row r="730" spans="1:17">
      <c r="A730" s="59"/>
      <c r="B730" s="271" t="s">
        <v>120</v>
      </c>
      <c r="C730" s="65"/>
      <c r="D730" s="65"/>
      <c r="E730" s="271"/>
      <c r="F730" s="65">
        <v>5.49</v>
      </c>
      <c r="G730" s="65">
        <v>0.7</v>
      </c>
      <c r="H730" s="65">
        <v>45.5</v>
      </c>
      <c r="I730" s="65">
        <v>20.3</v>
      </c>
      <c r="J730" s="67">
        <v>1.4</v>
      </c>
      <c r="K730" s="65">
        <v>17.7</v>
      </c>
      <c r="L730" s="65">
        <v>44.8</v>
      </c>
      <c r="M730" s="65">
        <v>0.46500000000000002</v>
      </c>
      <c r="N730" s="67">
        <v>8.49</v>
      </c>
      <c r="O730" s="68">
        <v>25.8</v>
      </c>
      <c r="P730" s="65">
        <v>20.9</v>
      </c>
      <c r="Q730" s="65">
        <v>2.1800000000000002</v>
      </c>
    </row>
    <row r="731" spans="1:17">
      <c r="A731" s="59"/>
      <c r="B731" s="271" t="s">
        <v>121</v>
      </c>
      <c r="C731" s="65"/>
      <c r="D731" s="65"/>
      <c r="E731" s="271"/>
      <c r="F731" s="65">
        <v>6.33</v>
      </c>
      <c r="G731" s="65">
        <v>0.80700000000000005</v>
      </c>
      <c r="H731" s="65">
        <v>45.6</v>
      </c>
      <c r="I731" s="65">
        <v>20.3</v>
      </c>
      <c r="J731" s="67">
        <v>1.6</v>
      </c>
      <c r="K731" s="65">
        <v>20.100000000000001</v>
      </c>
      <c r="L731" s="65">
        <v>44.5</v>
      </c>
      <c r="M731" s="65">
        <v>0.52500000000000002</v>
      </c>
      <c r="N731" s="67">
        <v>9.6</v>
      </c>
      <c r="O731" s="68">
        <v>25.5</v>
      </c>
      <c r="P731" s="65">
        <v>20.7</v>
      </c>
      <c r="Q731" s="65">
        <v>3.45</v>
      </c>
    </row>
    <row r="732" spans="1:17">
      <c r="A732" s="59"/>
      <c r="B732" s="271" t="s">
        <v>122</v>
      </c>
      <c r="C732" s="65"/>
      <c r="D732" s="65"/>
      <c r="E732" s="271"/>
      <c r="F732" s="65">
        <v>7.95</v>
      </c>
      <c r="G732" s="65">
        <v>1.01</v>
      </c>
      <c r="H732" s="65">
        <v>45.8</v>
      </c>
      <c r="I732" s="65">
        <v>20.399999999999999</v>
      </c>
      <c r="J732" s="65">
        <v>1.95</v>
      </c>
      <c r="K732" s="65">
        <v>24.6</v>
      </c>
      <c r="L732" s="65">
        <v>43.9</v>
      </c>
      <c r="M732" s="65">
        <v>0.63100000000000001</v>
      </c>
      <c r="N732" s="65">
        <v>11.6</v>
      </c>
      <c r="O732" s="68">
        <v>25</v>
      </c>
      <c r="P732" s="65">
        <v>20.3</v>
      </c>
      <c r="Q732" s="65">
        <v>7.26</v>
      </c>
    </row>
    <row r="733" spans="1:17">
      <c r="A733" s="59"/>
      <c r="B733" s="271" t="s">
        <v>56</v>
      </c>
      <c r="C733" s="65"/>
      <c r="D733" s="65"/>
      <c r="E733" s="271"/>
      <c r="F733" s="65" t="s">
        <v>135</v>
      </c>
      <c r="G733" s="65" t="s">
        <v>135</v>
      </c>
      <c r="H733" s="65" t="s">
        <v>135</v>
      </c>
      <c r="I733" s="65" t="s">
        <v>135</v>
      </c>
      <c r="J733" s="65" t="s">
        <v>135</v>
      </c>
      <c r="K733" s="65" t="s">
        <v>135</v>
      </c>
      <c r="L733" s="65" t="s">
        <v>135</v>
      </c>
      <c r="M733" s="65" t="s">
        <v>135</v>
      </c>
      <c r="N733" s="65" t="s">
        <v>135</v>
      </c>
      <c r="O733" s="65" t="s">
        <v>135</v>
      </c>
      <c r="P733" s="65" t="s">
        <v>135</v>
      </c>
      <c r="Q733" s="65" t="s">
        <v>135</v>
      </c>
    </row>
    <row r="734" spans="1:17">
      <c r="A734" s="59"/>
      <c r="B734" s="271" t="s">
        <v>123</v>
      </c>
      <c r="C734" s="65"/>
      <c r="D734" s="65"/>
      <c r="E734" s="271"/>
      <c r="F734" s="65">
        <v>5.12</v>
      </c>
      <c r="G734" s="65">
        <v>0.65300000000000002</v>
      </c>
      <c r="H734" s="65">
        <v>56.2</v>
      </c>
      <c r="I734" s="65">
        <v>18.399999999999999</v>
      </c>
      <c r="J734" s="65">
        <v>1.89</v>
      </c>
      <c r="K734" s="65">
        <v>20.100000000000001</v>
      </c>
      <c r="L734" s="65">
        <v>53.8</v>
      </c>
      <c r="M734" s="65">
        <v>0.42</v>
      </c>
      <c r="N734" s="65">
        <v>7.43</v>
      </c>
      <c r="O734" s="65">
        <v>25.4</v>
      </c>
      <c r="P734" s="68">
        <v>21</v>
      </c>
      <c r="Q734" s="67">
        <v>1.4</v>
      </c>
    </row>
    <row r="735" spans="1:17">
      <c r="A735" s="59"/>
      <c r="B735" s="271" t="s">
        <v>124</v>
      </c>
      <c r="C735" s="65"/>
      <c r="D735" s="65"/>
      <c r="E735" s="271"/>
      <c r="F735" s="65">
        <v>6.08</v>
      </c>
      <c r="G735" s="65">
        <v>0.77500000000000002</v>
      </c>
      <c r="H735" s="65">
        <v>56.3</v>
      </c>
      <c r="I735" s="65">
        <v>18.399999999999999</v>
      </c>
      <c r="J735" s="65">
        <v>2.2200000000000002</v>
      </c>
      <c r="K735" s="65">
        <v>23.7</v>
      </c>
      <c r="L735" s="65">
        <v>53.5</v>
      </c>
      <c r="M735" s="65">
        <v>0.48899999999999999</v>
      </c>
      <c r="N735" s="65">
        <v>8.64</v>
      </c>
      <c r="O735" s="65">
        <v>25.1</v>
      </c>
      <c r="P735" s="65">
        <v>20.8</v>
      </c>
      <c r="Q735" s="65">
        <v>2.41</v>
      </c>
    </row>
    <row r="736" spans="1:17" ht="12.75" customHeight="1">
      <c r="A736" s="59"/>
      <c r="B736" s="271" t="s">
        <v>125</v>
      </c>
      <c r="C736" s="65"/>
      <c r="D736" s="65"/>
      <c r="E736" s="271"/>
      <c r="F736" s="65">
        <v>7.02</v>
      </c>
      <c r="G736" s="65">
        <v>0.89400000000000002</v>
      </c>
      <c r="H736" s="65">
        <v>56.4</v>
      </c>
      <c r="I736" s="65">
        <v>18.5</v>
      </c>
      <c r="J736" s="65">
        <v>2.5299999999999998</v>
      </c>
      <c r="K736" s="68">
        <v>27</v>
      </c>
      <c r="L736" s="65">
        <v>53.2</v>
      </c>
      <c r="M736" s="65">
        <v>0.55200000000000005</v>
      </c>
      <c r="N736" s="65">
        <v>9.77</v>
      </c>
      <c r="O736" s="65">
        <v>24.9</v>
      </c>
      <c r="P736" s="65">
        <v>20.6</v>
      </c>
      <c r="Q736" s="65">
        <v>3.81</v>
      </c>
    </row>
    <row r="737" spans="1:17">
      <c r="A737" s="59"/>
      <c r="B737" s="271" t="s">
        <v>126</v>
      </c>
      <c r="C737" s="65"/>
      <c r="D737" s="65"/>
      <c r="E737" s="271"/>
      <c r="F737" s="65">
        <v>8.83</v>
      </c>
      <c r="G737" s="65">
        <v>1.1200000000000001</v>
      </c>
      <c r="H737" s="65">
        <v>56.7</v>
      </c>
      <c r="I737" s="65">
        <v>18.600000000000001</v>
      </c>
      <c r="J737" s="67">
        <v>3.1</v>
      </c>
      <c r="K737" s="65">
        <v>33.299999999999997</v>
      </c>
      <c r="L737" s="65">
        <v>52.5</v>
      </c>
      <c r="M737" s="65">
        <v>0.66500000000000004</v>
      </c>
      <c r="N737" s="65">
        <v>11.8</v>
      </c>
      <c r="O737" s="65">
        <v>24.3</v>
      </c>
      <c r="P737" s="65">
        <v>20.100000000000001</v>
      </c>
      <c r="Q737" s="65">
        <v>8.02</v>
      </c>
    </row>
    <row r="738" spans="1:17">
      <c r="A738" s="6"/>
    </row>
    <row r="739" spans="1:17">
      <c r="A739" s="6"/>
    </row>
    <row r="740" spans="1:17">
      <c r="A740" s="6"/>
    </row>
    <row r="741" spans="1:17">
      <c r="A741" s="6"/>
    </row>
    <row r="742" spans="1:17">
      <c r="A742" s="6"/>
    </row>
    <row r="743" spans="1:17">
      <c r="A743" s="6"/>
    </row>
  </sheetData>
  <mergeCells count="126">
    <mergeCell ref="B201:B202"/>
    <mergeCell ref="F201:F202"/>
    <mergeCell ref="G201:G202"/>
    <mergeCell ref="H201:H202"/>
    <mergeCell ref="I201:I202"/>
    <mergeCell ref="F373:F374"/>
    <mergeCell ref="G373:G374"/>
    <mergeCell ref="H373:K373"/>
    <mergeCell ref="H709:H710"/>
    <mergeCell ref="I709:I710"/>
    <mergeCell ref="F657:F658"/>
    <mergeCell ref="J201:J202"/>
    <mergeCell ref="F709:F710"/>
    <mergeCell ref="G709:G710"/>
    <mergeCell ref="G657:G658"/>
    <mergeCell ref="M709:O709"/>
    <mergeCell ref="P709:P710"/>
    <mergeCell ref="P373:R373"/>
    <mergeCell ref="L373:L374"/>
    <mergeCell ref="M201:O201"/>
    <mergeCell ref="P201:R201"/>
    <mergeCell ref="Q709:Q710"/>
    <mergeCell ref="R709:R710"/>
    <mergeCell ref="O657:O658"/>
    <mergeCell ref="P657:P658"/>
    <mergeCell ref="N657:N658"/>
    <mergeCell ref="J709:L709"/>
    <mergeCell ref="H657:J657"/>
    <mergeCell ref="K657:M657"/>
    <mergeCell ref="F107:F108"/>
    <mergeCell ref="G107:G108"/>
    <mergeCell ref="H107:H108"/>
    <mergeCell ref="I107:I108"/>
    <mergeCell ref="F134:F135"/>
    <mergeCell ref="H134:H135"/>
    <mergeCell ref="T201:T202"/>
    <mergeCell ref="K201:K202"/>
    <mergeCell ref="L201:L202"/>
    <mergeCell ref="S201:S202"/>
    <mergeCell ref="S134:S135"/>
    <mergeCell ref="J134:J135"/>
    <mergeCell ref="K134:M134"/>
    <mergeCell ref="N134:P134"/>
    <mergeCell ref="B76:B77"/>
    <mergeCell ref="F76:F77"/>
    <mergeCell ref="G76:G77"/>
    <mergeCell ref="H76:H77"/>
    <mergeCell ref="W67:W68"/>
    <mergeCell ref="L76:L77"/>
    <mergeCell ref="M76:M77"/>
    <mergeCell ref="N76:Q76"/>
    <mergeCell ref="B67:B68"/>
    <mergeCell ref="F67:F68"/>
    <mergeCell ref="G67:G68"/>
    <mergeCell ref="H67:H68"/>
    <mergeCell ref="I67:I68"/>
    <mergeCell ref="I76:I77"/>
    <mergeCell ref="U76:U77"/>
    <mergeCell ref="V76:V77"/>
    <mergeCell ref="J76:J77"/>
    <mergeCell ref="K76:K77"/>
    <mergeCell ref="N67:N68"/>
    <mergeCell ref="L67:L68"/>
    <mergeCell ref="J67:J68"/>
    <mergeCell ref="K67:K68"/>
    <mergeCell ref="M67:M68"/>
    <mergeCell ref="O67:O68"/>
    <mergeCell ref="P67:S67"/>
    <mergeCell ref="J7:J8"/>
    <mergeCell ref="K7:K8"/>
    <mergeCell ref="L7:L8"/>
    <mergeCell ref="M7:M8"/>
    <mergeCell ref="AY506:BA506"/>
    <mergeCell ref="AY507:BA507"/>
    <mergeCell ref="AF515:AH515"/>
    <mergeCell ref="R76:T76"/>
    <mergeCell ref="S107:U107"/>
    <mergeCell ref="Q134:R134"/>
    <mergeCell ref="AF516:AH516"/>
    <mergeCell ref="L107:L108"/>
    <mergeCell ref="B110:Z110"/>
    <mergeCell ref="B123:Z123"/>
    <mergeCell ref="B134:B135"/>
    <mergeCell ref="B196:K196"/>
    <mergeCell ref="L456:O456"/>
    <mergeCell ref="V107:X107"/>
    <mergeCell ref="N107:N108"/>
    <mergeCell ref="O107:O108"/>
    <mergeCell ref="P107:P108"/>
    <mergeCell ref="Y107:Y108"/>
    <mergeCell ref="H456:K456"/>
    <mergeCell ref="F456:F457"/>
    <mergeCell ref="G456:G457"/>
    <mergeCell ref="J107:J108"/>
    <mergeCell ref="K107:K108"/>
    <mergeCell ref="Z107:Z108"/>
    <mergeCell ref="Q107:Q108"/>
    <mergeCell ref="R107:R108"/>
    <mergeCell ref="M107:M108"/>
    <mergeCell ref="G134:G135"/>
    <mergeCell ref="I134:I135"/>
    <mergeCell ref="B107:B108"/>
    <mergeCell ref="F7:F8"/>
    <mergeCell ref="G7:G8"/>
    <mergeCell ref="H7:H8"/>
    <mergeCell ref="I7:I8"/>
    <mergeCell ref="B7:B8"/>
    <mergeCell ref="T67:V67"/>
    <mergeCell ref="N7:Q7"/>
    <mergeCell ref="U548:W548"/>
    <mergeCell ref="X548:Z548"/>
    <mergeCell ref="P548:P549"/>
    <mergeCell ref="Q548:Q549"/>
    <mergeCell ref="S548:S549"/>
    <mergeCell ref="B102:K102"/>
    <mergeCell ref="F548:F549"/>
    <mergeCell ref="G548:G549"/>
    <mergeCell ref="H548:H549"/>
    <mergeCell ref="J548:L548"/>
    <mergeCell ref="M548:O548"/>
    <mergeCell ref="R548:R549"/>
    <mergeCell ref="I548:I549"/>
    <mergeCell ref="R7:T7"/>
    <mergeCell ref="U7:U8"/>
    <mergeCell ref="V7:V8"/>
    <mergeCell ref="X67:X68"/>
  </mergeCells>
  <phoneticPr fontId="0" type="noConversion"/>
  <pageMargins left="0.75" right="0.75" top="0.25" bottom="0.21" header="0.16" footer="0.15"/>
  <pageSetup scale="2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SectableSAfinal</vt:lpstr>
    </vt:vector>
  </TitlesOfParts>
  <Company>SAISC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O Horngren</dc:creator>
  <cp:lastModifiedBy>Padayachee, CC, Mr [17860547@sun.ac.za]</cp:lastModifiedBy>
  <cp:lastPrinted>2012-11-15T09:59:03Z</cp:lastPrinted>
  <dcterms:created xsi:type="dcterms:W3CDTF">2003-09-09T10:33:51Z</dcterms:created>
  <dcterms:modified xsi:type="dcterms:W3CDTF">2025-09-07T19:08:26Z</dcterms:modified>
</cp:coreProperties>
</file>